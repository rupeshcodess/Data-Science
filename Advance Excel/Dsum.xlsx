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\advance excel\"/>
    </mc:Choice>
  </mc:AlternateContent>
  <xr:revisionPtr revIDLastSave="0" documentId="13_ncr:1_{5EC7C814-B95D-450C-BCD5-F753DD5F27F3}" xr6:coauthVersionLast="36" xr6:coauthVersionMax="36" xr10:uidLastSave="{00000000-0000-0000-0000-000000000000}"/>
  <bookViews>
    <workbookView xWindow="0" yWindow="0" windowWidth="15360" windowHeight="8385" xr2:uid="{C0D4F85F-7AF5-4877-B49A-249D8DC82A8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9" i="2" l="1"/>
  <c r="M28" i="2" l="1"/>
  <c r="L21" i="2"/>
  <c r="M21" i="2"/>
  <c r="M25" i="2" l="1"/>
  <c r="D35" i="2"/>
  <c r="C32" i="2"/>
  <c r="E3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2" i="2"/>
  <c r="F32" i="2" l="1"/>
  <c r="I14" i="1"/>
  <c r="I13" i="1"/>
  <c r="I12" i="1"/>
  <c r="I11" i="1"/>
  <c r="I10" i="1" l="1"/>
  <c r="J20" i="1" l="1"/>
</calcChain>
</file>

<file path=xl/sharedStrings.xml><?xml version="1.0" encoding="utf-8"?>
<sst xmlns="http://schemas.openxmlformats.org/spreadsheetml/2006/main" count="165" uniqueCount="50">
  <si>
    <t xml:space="preserve">Quarter </t>
  </si>
  <si>
    <t>Area</t>
  </si>
  <si>
    <t>Product</t>
  </si>
  <si>
    <t>Sales</t>
  </si>
  <si>
    <t>I</t>
  </si>
  <si>
    <t>II</t>
  </si>
  <si>
    <t>III</t>
  </si>
  <si>
    <t>IV</t>
  </si>
  <si>
    <t>South</t>
  </si>
  <si>
    <t>North</t>
  </si>
  <si>
    <t>Soft Toys</t>
  </si>
  <si>
    <t>Creative Toys</t>
  </si>
  <si>
    <t>Criteria given</t>
  </si>
  <si>
    <t>Formula Used</t>
  </si>
  <si>
    <t>DSUM(B4:E18,E4,H7:I8)</t>
  </si>
  <si>
    <t>Database,field,criteria</t>
  </si>
  <si>
    <t>DSUM</t>
  </si>
  <si>
    <t>DAVERAGE</t>
  </si>
  <si>
    <t>DMAX</t>
  </si>
  <si>
    <t>DMIN</t>
  </si>
  <si>
    <t>DCOUNT</t>
  </si>
  <si>
    <t>S.No</t>
  </si>
  <si>
    <t>Item</t>
  </si>
  <si>
    <t>Company</t>
  </si>
  <si>
    <t>Rate</t>
  </si>
  <si>
    <t>Qty</t>
  </si>
  <si>
    <t>Total</t>
  </si>
  <si>
    <t>DVD</t>
  </si>
  <si>
    <t>RAM</t>
  </si>
  <si>
    <t>CD</t>
  </si>
  <si>
    <t>MOUSE</t>
  </si>
  <si>
    <t>MONITOR</t>
  </si>
  <si>
    <t>Writex</t>
  </si>
  <si>
    <t>Samsung</t>
  </si>
  <si>
    <t>Tips</t>
  </si>
  <si>
    <t>Quantam</t>
  </si>
  <si>
    <t>Kingston</t>
  </si>
  <si>
    <t>Intex</t>
  </si>
  <si>
    <t>AOC</t>
  </si>
  <si>
    <t>LG</t>
  </si>
  <si>
    <t xml:space="preserve"> </t>
  </si>
  <si>
    <t>COUNT FOMULA COUNT ONLY NUMBERS NOT TEXT</t>
  </si>
  <si>
    <t>COUNTA FORMULA COUNT NUMBER &amp; TEXT BOTH</t>
  </si>
  <si>
    <t>BOTH FORMULA DON’T COUNT BLANK CELL</t>
  </si>
  <si>
    <t>COUNTBLANK</t>
  </si>
  <si>
    <t>COUNT BLANK FORMULA COUNT ONLY BLANK CELL</t>
  </si>
  <si>
    <t>&lt;&gt;</t>
  </si>
  <si>
    <t>&gt;15</t>
  </si>
  <si>
    <t>&gt;50</t>
  </si>
  <si>
    <t>DCOUNT(A1:F31,F1,H27:K28)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</si>
</sst>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1" applyNumberFormat="1" applyFont="1"/>
    <xf numFmtId="0" fontId="0" fillId="0" borderId="0" xfId="0" applyAlignment="1">
      <alignment horizontal="center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0354-B9B0-4B05-8CF0-705887531405}">
  <dimension ref="B1:M20"/>
  <sheetViews>
    <sheetView tabSelected="1" zoomScaleNormal="100" workbookViewId="0">
      <selection activeCell="I23" sqref="I23"/>
    </sheetView>
  </sheetViews>
  <sheetFormatPr defaultRowHeight="15" x14ac:dyDescent="0.25"/>
  <cols>
    <col min="4" max="4" width="12" bestFit="1" customWidth="1"/>
    <col min="5" max="5" width="11.28515625" bestFit="1" customWidth="1"/>
    <col min="6" max="6" width="20.28515625" bestFit="1" customWidth="1"/>
    <col min="8" max="8" width="13.28515625" bestFit="1" customWidth="1"/>
  </cols>
  <sheetData>
    <row r="1" spans="2:13" x14ac:dyDescent="0.25">
      <c r="F1" t="s">
        <v>14</v>
      </c>
    </row>
    <row r="2" spans="2:13" x14ac:dyDescent="0.25">
      <c r="F2" t="s">
        <v>15</v>
      </c>
    </row>
    <row r="4" spans="2:13" x14ac:dyDescent="0.25">
      <c r="B4" t="s">
        <v>0</v>
      </c>
      <c r="C4" t="s">
        <v>1</v>
      </c>
      <c r="D4" t="s">
        <v>2</v>
      </c>
      <c r="E4" t="s">
        <v>3</v>
      </c>
    </row>
    <row r="5" spans="2:13" x14ac:dyDescent="0.25">
      <c r="B5" t="s">
        <v>4</v>
      </c>
      <c r="C5" t="s">
        <v>8</v>
      </c>
      <c r="D5" t="s">
        <v>10</v>
      </c>
      <c r="E5" s="1">
        <v>250000</v>
      </c>
    </row>
    <row r="6" spans="2:13" x14ac:dyDescent="0.25">
      <c r="B6" t="s">
        <v>4</v>
      </c>
      <c r="C6" t="s">
        <v>9</v>
      </c>
      <c r="D6" t="s">
        <v>10</v>
      </c>
      <c r="E6" s="1">
        <v>300000</v>
      </c>
      <c r="H6" t="s">
        <v>12</v>
      </c>
    </row>
    <row r="7" spans="2:13" x14ac:dyDescent="0.25">
      <c r="B7" t="s">
        <v>4</v>
      </c>
      <c r="C7" t="s">
        <v>8</v>
      </c>
      <c r="D7" t="s">
        <v>11</v>
      </c>
      <c r="E7" s="1">
        <v>500000</v>
      </c>
      <c r="H7" t="s">
        <v>1</v>
      </c>
      <c r="I7" t="s">
        <v>2</v>
      </c>
    </row>
    <row r="8" spans="2:13" x14ac:dyDescent="0.25">
      <c r="B8" t="s">
        <v>4</v>
      </c>
      <c r="C8" t="s">
        <v>9</v>
      </c>
      <c r="D8" t="s">
        <v>11</v>
      </c>
      <c r="E8" s="1">
        <v>125000</v>
      </c>
      <c r="H8" t="s">
        <v>9</v>
      </c>
      <c r="I8" t="s">
        <v>10</v>
      </c>
    </row>
    <row r="9" spans="2:13" x14ac:dyDescent="0.25">
      <c r="B9" t="s">
        <v>5</v>
      </c>
      <c r="C9" t="s">
        <v>9</v>
      </c>
      <c r="D9" t="s">
        <v>11</v>
      </c>
      <c r="E9" s="1">
        <v>55000</v>
      </c>
    </row>
    <row r="10" spans="2:13" x14ac:dyDescent="0.25">
      <c r="B10" t="s">
        <v>5</v>
      </c>
      <c r="C10" t="s">
        <v>8</v>
      </c>
      <c r="D10" t="s">
        <v>11</v>
      </c>
      <c r="E10" s="1">
        <v>135000</v>
      </c>
      <c r="H10" t="s">
        <v>13</v>
      </c>
      <c r="I10">
        <f>DSUM(B4:E18,E4,H7:I8)</f>
        <v>650050</v>
      </c>
      <c r="J10" t="s">
        <v>16</v>
      </c>
      <c r="M10" t="s">
        <v>14</v>
      </c>
    </row>
    <row r="11" spans="2:13" x14ac:dyDescent="0.25">
      <c r="B11" t="s">
        <v>6</v>
      </c>
      <c r="C11" t="s">
        <v>9</v>
      </c>
      <c r="D11" t="s">
        <v>10</v>
      </c>
      <c r="E11" s="1">
        <v>100000</v>
      </c>
      <c r="I11">
        <f>DAVERAGE(B4:E18,E4,H7:I8)</f>
        <v>162512.5</v>
      </c>
      <c r="J11" t="s">
        <v>17</v>
      </c>
    </row>
    <row r="12" spans="2:13" x14ac:dyDescent="0.25">
      <c r="B12" t="s">
        <v>6</v>
      </c>
      <c r="C12" t="s">
        <v>8</v>
      </c>
      <c r="D12" t="s">
        <v>10</v>
      </c>
      <c r="E12" s="1">
        <v>125000</v>
      </c>
      <c r="I12">
        <f>DMAX(B4:E18,E4,H7:I8)</f>
        <v>300000</v>
      </c>
      <c r="J12" t="s">
        <v>18</v>
      </c>
    </row>
    <row r="13" spans="2:13" x14ac:dyDescent="0.25">
      <c r="B13" t="s">
        <v>6</v>
      </c>
      <c r="C13" t="s">
        <v>9</v>
      </c>
      <c r="D13" t="s">
        <v>10</v>
      </c>
      <c r="E13" s="1">
        <v>250000</v>
      </c>
      <c r="I13">
        <f>DMIN(B4:E18,E4,H7:I8)</f>
        <v>50</v>
      </c>
      <c r="J13" t="s">
        <v>19</v>
      </c>
    </row>
    <row r="14" spans="2:13" x14ac:dyDescent="0.25">
      <c r="B14" t="s">
        <v>6</v>
      </c>
      <c r="C14" t="s">
        <v>8</v>
      </c>
      <c r="D14" t="s">
        <v>11</v>
      </c>
      <c r="E14" s="1">
        <v>225000</v>
      </c>
      <c r="I14">
        <f>DCOUNT(B4:E18,E4,H7:I8)</f>
        <v>4</v>
      </c>
      <c r="J14" t="s">
        <v>20</v>
      </c>
    </row>
    <row r="15" spans="2:13" x14ac:dyDescent="0.25">
      <c r="B15" t="s">
        <v>7</v>
      </c>
      <c r="C15" t="s">
        <v>8</v>
      </c>
      <c r="D15" t="s">
        <v>10</v>
      </c>
      <c r="E15" s="1">
        <v>125000</v>
      </c>
    </row>
    <row r="16" spans="2:13" x14ac:dyDescent="0.25">
      <c r="B16" t="s">
        <v>7</v>
      </c>
      <c r="C16" t="s">
        <v>9</v>
      </c>
      <c r="D16" t="s">
        <v>10</v>
      </c>
      <c r="E16" s="1">
        <v>50</v>
      </c>
    </row>
    <row r="17" spans="2:10" x14ac:dyDescent="0.25">
      <c r="B17" t="s">
        <v>7</v>
      </c>
      <c r="C17" t="s">
        <v>8</v>
      </c>
      <c r="D17" t="s">
        <v>11</v>
      </c>
      <c r="E17" s="1">
        <v>110000</v>
      </c>
      <c r="H17" t="s">
        <v>8</v>
      </c>
      <c r="I17" t="s">
        <v>10</v>
      </c>
      <c r="J17" s="1">
        <v>250000</v>
      </c>
    </row>
    <row r="18" spans="2:10" x14ac:dyDescent="0.25">
      <c r="B18" t="s">
        <v>7</v>
      </c>
      <c r="C18" t="s">
        <v>9</v>
      </c>
      <c r="D18" t="s">
        <v>11</v>
      </c>
      <c r="E18" s="1">
        <v>100000</v>
      </c>
      <c r="H18" t="s">
        <v>8</v>
      </c>
      <c r="I18" t="s">
        <v>10</v>
      </c>
      <c r="J18" s="1">
        <v>125000</v>
      </c>
    </row>
    <row r="19" spans="2:10" x14ac:dyDescent="0.25">
      <c r="H19" t="s">
        <v>8</v>
      </c>
      <c r="I19" t="s">
        <v>10</v>
      </c>
      <c r="J19" s="1">
        <v>125000</v>
      </c>
    </row>
    <row r="20" spans="2:10" x14ac:dyDescent="0.25">
      <c r="J20">
        <f>SUM(J17:J19)</f>
        <v>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151AC-902D-4E48-96CC-0A6392E837E5}">
  <dimension ref="A1:M35"/>
  <sheetViews>
    <sheetView zoomScale="115" zoomScaleNormal="115" workbookViewId="0">
      <pane ySplit="1" topLeftCell="A20" activePane="bottomLeft" state="frozen"/>
      <selection pane="bottomLeft" activeCell="M28" sqref="M28"/>
    </sheetView>
  </sheetViews>
  <sheetFormatPr defaultRowHeight="15" x14ac:dyDescent="0.25"/>
  <sheetData>
    <row r="1" spans="1:8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8" x14ac:dyDescent="0.25">
      <c r="A2" s="2">
        <v>1</v>
      </c>
      <c r="B2" s="2" t="s">
        <v>29</v>
      </c>
      <c r="C2" s="2" t="s">
        <v>32</v>
      </c>
      <c r="D2" s="2">
        <v>10</v>
      </c>
      <c r="E2" s="2">
        <v>50</v>
      </c>
      <c r="F2" s="2">
        <f>D2*E2</f>
        <v>500</v>
      </c>
    </row>
    <row r="3" spans="1:8" x14ac:dyDescent="0.25">
      <c r="A3" s="2">
        <v>2</v>
      </c>
      <c r="B3" s="2" t="s">
        <v>28</v>
      </c>
      <c r="C3" s="2" t="s">
        <v>36</v>
      </c>
      <c r="D3" s="2">
        <v>450</v>
      </c>
      <c r="E3" s="2">
        <v>15</v>
      </c>
      <c r="F3" s="2">
        <f t="shared" ref="F3:F31" si="0">D3*E3</f>
        <v>6750</v>
      </c>
    </row>
    <row r="4" spans="1:8" x14ac:dyDescent="0.25">
      <c r="A4" s="2">
        <v>3</v>
      </c>
      <c r="B4" s="2" t="s">
        <v>31</v>
      </c>
      <c r="C4" s="2" t="s">
        <v>39</v>
      </c>
      <c r="D4" s="2">
        <v>4100</v>
      </c>
      <c r="E4" s="2">
        <v>10</v>
      </c>
      <c r="F4" s="2">
        <f t="shared" si="0"/>
        <v>41000</v>
      </c>
    </row>
    <row r="5" spans="1:8" x14ac:dyDescent="0.25">
      <c r="A5" s="2">
        <v>4</v>
      </c>
      <c r="B5" s="2" t="s">
        <v>27</v>
      </c>
      <c r="C5" s="2" t="s">
        <v>32</v>
      </c>
      <c r="D5" s="2">
        <v>15</v>
      </c>
      <c r="E5" s="2">
        <v>40</v>
      </c>
      <c r="F5" s="2">
        <f t="shared" si="0"/>
        <v>600</v>
      </c>
    </row>
    <row r="6" spans="1:8" x14ac:dyDescent="0.25">
      <c r="A6" s="2">
        <v>5</v>
      </c>
      <c r="B6" s="2" t="s">
        <v>28</v>
      </c>
      <c r="C6" s="2" t="s">
        <v>33</v>
      </c>
      <c r="D6" s="2">
        <v>550</v>
      </c>
      <c r="E6" s="2">
        <v>10</v>
      </c>
      <c r="F6" s="2">
        <f t="shared" si="0"/>
        <v>5500</v>
      </c>
    </row>
    <row r="7" spans="1:8" x14ac:dyDescent="0.25">
      <c r="A7" s="2">
        <v>6</v>
      </c>
      <c r="B7" s="2" t="s">
        <v>29</v>
      </c>
      <c r="C7" s="2" t="s">
        <v>34</v>
      </c>
      <c r="D7" s="2">
        <v>10</v>
      </c>
      <c r="E7" s="2">
        <v>45</v>
      </c>
      <c r="F7" s="2">
        <f t="shared" si="0"/>
        <v>450</v>
      </c>
    </row>
    <row r="8" spans="1:8" x14ac:dyDescent="0.25">
      <c r="A8" s="2">
        <v>7</v>
      </c>
      <c r="B8" s="2" t="s">
        <v>30</v>
      </c>
      <c r="C8" s="2" t="s">
        <v>35</v>
      </c>
      <c r="D8" s="2">
        <v>250</v>
      </c>
      <c r="E8" s="2">
        <v>12</v>
      </c>
      <c r="F8" s="2">
        <f t="shared" si="0"/>
        <v>3000</v>
      </c>
    </row>
    <row r="9" spans="1:8" x14ac:dyDescent="0.25">
      <c r="A9" s="2">
        <v>8</v>
      </c>
      <c r="B9" s="2" t="s">
        <v>27</v>
      </c>
      <c r="C9" s="2" t="s">
        <v>32</v>
      </c>
      <c r="D9" s="2">
        <v>15</v>
      </c>
      <c r="E9" s="2">
        <v>50</v>
      </c>
      <c r="F9" s="2">
        <f t="shared" si="0"/>
        <v>750</v>
      </c>
    </row>
    <row r="10" spans="1:8" x14ac:dyDescent="0.25">
      <c r="A10" s="2">
        <v>9</v>
      </c>
      <c r="B10" s="2" t="s">
        <v>29</v>
      </c>
      <c r="C10" s="2" t="s">
        <v>32</v>
      </c>
      <c r="D10" s="2">
        <v>10</v>
      </c>
      <c r="E10" s="2">
        <v>50</v>
      </c>
      <c r="F10" s="2">
        <f t="shared" si="0"/>
        <v>500</v>
      </c>
    </row>
    <row r="11" spans="1:8" x14ac:dyDescent="0.25">
      <c r="A11" s="2">
        <v>10</v>
      </c>
      <c r="B11" s="2" t="s">
        <v>28</v>
      </c>
      <c r="C11" s="2" t="s">
        <v>36</v>
      </c>
      <c r="D11" s="2">
        <v>500</v>
      </c>
      <c r="E11" s="2">
        <v>5</v>
      </c>
      <c r="F11" s="2">
        <f t="shared" si="0"/>
        <v>2500</v>
      </c>
    </row>
    <row r="12" spans="1:8" x14ac:dyDescent="0.25">
      <c r="A12" s="2">
        <v>11</v>
      </c>
      <c r="B12" s="2" t="s">
        <v>30</v>
      </c>
      <c r="C12" s="2" t="s">
        <v>37</v>
      </c>
      <c r="D12" s="2">
        <v>150</v>
      </c>
      <c r="E12" s="2">
        <v>12</v>
      </c>
      <c r="F12" s="2">
        <f t="shared" si="0"/>
        <v>1800</v>
      </c>
    </row>
    <row r="13" spans="1:8" x14ac:dyDescent="0.25">
      <c r="A13" s="2">
        <v>12</v>
      </c>
      <c r="B13" s="2" t="s">
        <v>31</v>
      </c>
      <c r="C13" s="2" t="s">
        <v>38</v>
      </c>
      <c r="D13" s="2">
        <v>4050</v>
      </c>
      <c r="E13" s="2">
        <v>6</v>
      </c>
      <c r="F13" s="2">
        <f t="shared" si="0"/>
        <v>24300</v>
      </c>
    </row>
    <row r="14" spans="1:8" x14ac:dyDescent="0.25">
      <c r="A14" s="2">
        <v>13</v>
      </c>
      <c r="B14" s="2" t="s">
        <v>29</v>
      </c>
      <c r="C14" s="2" t="s">
        <v>34</v>
      </c>
      <c r="D14" s="2">
        <v>10</v>
      </c>
      <c r="E14" s="2">
        <v>55</v>
      </c>
      <c r="F14" s="2">
        <f t="shared" si="0"/>
        <v>550</v>
      </c>
      <c r="H14" t="s">
        <v>41</v>
      </c>
    </row>
    <row r="15" spans="1:8" x14ac:dyDescent="0.25">
      <c r="A15" s="2">
        <v>14</v>
      </c>
      <c r="B15" s="2" t="s">
        <v>27</v>
      </c>
      <c r="C15" s="2" t="s">
        <v>34</v>
      </c>
      <c r="D15" s="2">
        <v>15</v>
      </c>
      <c r="E15" s="2">
        <v>35</v>
      </c>
      <c r="F15" s="2">
        <f t="shared" si="0"/>
        <v>525</v>
      </c>
      <c r="H15" t="s">
        <v>42</v>
      </c>
    </row>
    <row r="16" spans="1:8" x14ac:dyDescent="0.25">
      <c r="A16" s="2">
        <v>15</v>
      </c>
      <c r="B16" s="2" t="s">
        <v>28</v>
      </c>
      <c r="C16" s="2" t="s">
        <v>33</v>
      </c>
      <c r="D16" s="2">
        <v>600</v>
      </c>
      <c r="E16" s="2">
        <v>10</v>
      </c>
      <c r="F16" s="2">
        <f t="shared" si="0"/>
        <v>6000</v>
      </c>
      <c r="H16" t="s">
        <v>43</v>
      </c>
    </row>
    <row r="17" spans="1:13" x14ac:dyDescent="0.25">
      <c r="A17" s="2">
        <v>16</v>
      </c>
      <c r="B17" s="2" t="s">
        <v>29</v>
      </c>
      <c r="C17" s="2" t="s">
        <v>32</v>
      </c>
      <c r="D17" s="2">
        <v>10</v>
      </c>
      <c r="E17" s="2">
        <v>50</v>
      </c>
      <c r="F17" s="2">
        <f t="shared" si="0"/>
        <v>500</v>
      </c>
      <c r="H17" t="s">
        <v>45</v>
      </c>
    </row>
    <row r="18" spans="1:13" x14ac:dyDescent="0.25">
      <c r="A18" s="2">
        <v>17</v>
      </c>
      <c r="B18" s="2" t="s">
        <v>28</v>
      </c>
      <c r="C18" s="2" t="s">
        <v>36</v>
      </c>
      <c r="D18" s="2">
        <v>450</v>
      </c>
      <c r="E18" s="2">
        <v>15</v>
      </c>
      <c r="F18" s="2">
        <f t="shared" si="0"/>
        <v>6750</v>
      </c>
    </row>
    <row r="19" spans="1:13" x14ac:dyDescent="0.25">
      <c r="A19" s="2">
        <v>18</v>
      </c>
      <c r="B19" t="s">
        <v>31</v>
      </c>
      <c r="C19" s="2" t="s">
        <v>39</v>
      </c>
      <c r="D19" s="2">
        <v>4100</v>
      </c>
      <c r="E19" s="2">
        <v>10</v>
      </c>
      <c r="F19" s="2">
        <f t="shared" si="0"/>
        <v>41000</v>
      </c>
    </row>
    <row r="20" spans="1:13" x14ac:dyDescent="0.25">
      <c r="A20" s="2">
        <v>19</v>
      </c>
      <c r="B20" t="s">
        <v>27</v>
      </c>
      <c r="C20" t="s">
        <v>32</v>
      </c>
      <c r="D20" s="2">
        <v>15</v>
      </c>
      <c r="E20" s="2">
        <v>40</v>
      </c>
      <c r="F20" s="2">
        <f t="shared" si="0"/>
        <v>600</v>
      </c>
      <c r="H20" s="3" t="s">
        <v>22</v>
      </c>
      <c r="I20" s="3" t="s">
        <v>23</v>
      </c>
      <c r="J20" s="3" t="s">
        <v>24</v>
      </c>
      <c r="K20" s="3" t="s">
        <v>25</v>
      </c>
      <c r="L20" s="3" t="s">
        <v>46</v>
      </c>
      <c r="M20" s="3" t="s">
        <v>26</v>
      </c>
    </row>
    <row r="21" spans="1:13" x14ac:dyDescent="0.25">
      <c r="A21" s="2">
        <v>20</v>
      </c>
      <c r="B21" t="s">
        <v>28</v>
      </c>
      <c r="C21" t="s">
        <v>33</v>
      </c>
      <c r="D21" s="2">
        <v>550</v>
      </c>
      <c r="E21" s="2">
        <v>10</v>
      </c>
      <c r="F21" s="2">
        <f t="shared" si="0"/>
        <v>5500</v>
      </c>
      <c r="H21" s="3" t="s">
        <v>31</v>
      </c>
      <c r="I21" s="3"/>
      <c r="J21" s="3"/>
      <c r="K21" s="3" t="s">
        <v>48</v>
      </c>
      <c r="L21" s="3">
        <f>COUNTIF(E2:E31,K21)</f>
        <v>2</v>
      </c>
      <c r="M21" s="3">
        <f>COUNTIF(B2:B31,H21)</f>
        <v>4</v>
      </c>
    </row>
    <row r="22" spans="1:13" x14ac:dyDescent="0.25">
      <c r="A22" s="2">
        <v>21</v>
      </c>
      <c r="B22" t="s">
        <v>29</v>
      </c>
      <c r="C22" t="s">
        <v>34</v>
      </c>
      <c r="D22" s="2">
        <v>10</v>
      </c>
      <c r="E22" s="2">
        <v>45</v>
      </c>
      <c r="F22" s="2">
        <f t="shared" si="0"/>
        <v>450</v>
      </c>
    </row>
    <row r="23" spans="1:13" x14ac:dyDescent="0.25">
      <c r="A23" s="2">
        <v>22</v>
      </c>
      <c r="B23" t="s">
        <v>30</v>
      </c>
      <c r="C23" t="s">
        <v>35</v>
      </c>
      <c r="D23" s="2">
        <v>250</v>
      </c>
      <c r="E23" s="2">
        <v>12</v>
      </c>
      <c r="F23" s="2">
        <f t="shared" si="0"/>
        <v>3000</v>
      </c>
    </row>
    <row r="24" spans="1:13" x14ac:dyDescent="0.25">
      <c r="A24" s="2">
        <v>23</v>
      </c>
      <c r="B24" t="s">
        <v>27</v>
      </c>
      <c r="C24" t="s">
        <v>32</v>
      </c>
      <c r="D24" s="2">
        <v>15</v>
      </c>
      <c r="E24" s="2">
        <v>50</v>
      </c>
      <c r="F24" s="2">
        <f t="shared" si="0"/>
        <v>750</v>
      </c>
      <c r="H24" s="3" t="s">
        <v>22</v>
      </c>
      <c r="I24" s="3" t="s">
        <v>23</v>
      </c>
      <c r="J24" s="3" t="s">
        <v>24</v>
      </c>
      <c r="K24" s="3" t="s">
        <v>25</v>
      </c>
      <c r="L24" s="3" t="s">
        <v>46</v>
      </c>
      <c r="M24" s="3" t="s">
        <v>26</v>
      </c>
    </row>
    <row r="25" spans="1:13" x14ac:dyDescent="0.25">
      <c r="A25" s="2">
        <v>24</v>
      </c>
      <c r="B25" t="s">
        <v>29</v>
      </c>
      <c r="C25" t="s">
        <v>32</v>
      </c>
      <c r="D25" s="2">
        <v>10</v>
      </c>
      <c r="E25" s="2">
        <v>50</v>
      </c>
      <c r="F25" s="2">
        <f t="shared" si="0"/>
        <v>500</v>
      </c>
      <c r="H25" s="3" t="s">
        <v>29</v>
      </c>
      <c r="I25" s="3" t="s">
        <v>32</v>
      </c>
      <c r="J25" s="3"/>
      <c r="K25" s="3" t="s">
        <v>47</v>
      </c>
      <c r="L25" s="3"/>
      <c r="M25" s="3">
        <f>COUNTIFS(B2:B31,H25,C2:C31,I25,E2:E31,K25)</f>
        <v>4</v>
      </c>
    </row>
    <row r="26" spans="1:13" x14ac:dyDescent="0.25">
      <c r="A26" s="2">
        <v>25</v>
      </c>
      <c r="B26" t="s">
        <v>28</v>
      </c>
      <c r="C26" t="s">
        <v>36</v>
      </c>
      <c r="D26" s="2">
        <v>500</v>
      </c>
      <c r="E26" s="2">
        <v>5</v>
      </c>
      <c r="F26" s="2">
        <f t="shared" si="0"/>
        <v>2500</v>
      </c>
    </row>
    <row r="27" spans="1:13" x14ac:dyDescent="0.25">
      <c r="A27" s="2">
        <v>26</v>
      </c>
      <c r="B27" t="s">
        <v>30</v>
      </c>
      <c r="C27" t="s">
        <v>37</v>
      </c>
      <c r="D27" s="2">
        <v>150</v>
      </c>
      <c r="E27" s="2">
        <v>12</v>
      </c>
      <c r="F27" s="2">
        <f t="shared" si="0"/>
        <v>1800</v>
      </c>
      <c r="H27" s="3" t="s">
        <v>22</v>
      </c>
      <c r="I27" s="3" t="s">
        <v>23</v>
      </c>
      <c r="J27" s="3" t="s">
        <v>24</v>
      </c>
      <c r="K27" s="3" t="s">
        <v>25</v>
      </c>
      <c r="L27" s="3" t="s">
        <v>46</v>
      </c>
      <c r="M27" s="3" t="s">
        <v>26</v>
      </c>
    </row>
    <row r="28" spans="1:13" x14ac:dyDescent="0.25">
      <c r="A28" s="2">
        <v>27</v>
      </c>
      <c r="B28" t="s">
        <v>31</v>
      </c>
      <c r="C28" t="s">
        <v>38</v>
      </c>
      <c r="D28" s="2">
        <v>4050</v>
      </c>
      <c r="E28" s="2">
        <v>6</v>
      </c>
      <c r="F28" s="2">
        <f t="shared" si="0"/>
        <v>24300</v>
      </c>
      <c r="H28" s="3" t="s">
        <v>31</v>
      </c>
      <c r="I28" s="3" t="s">
        <v>38</v>
      </c>
      <c r="J28" s="3"/>
      <c r="K28" s="3"/>
      <c r="L28" s="3"/>
      <c r="M28" s="3">
        <f>DCOUNT(A1:F31,F1,H27:K28)</f>
        <v>2</v>
      </c>
    </row>
    <row r="29" spans="1:13" x14ac:dyDescent="0.25">
      <c r="A29" s="2">
        <v>28</v>
      </c>
      <c r="B29" t="s">
        <v>29</v>
      </c>
      <c r="C29" t="s">
        <v>34</v>
      </c>
      <c r="D29" s="2">
        <v>10</v>
      </c>
      <c r="E29" s="2">
        <v>55</v>
      </c>
      <c r="F29" s="2">
        <f t="shared" si="0"/>
        <v>550</v>
      </c>
      <c r="M29">
        <f>DSUM(A1:F31,F1,H27:K28)</f>
        <v>48600</v>
      </c>
    </row>
    <row r="30" spans="1:13" x14ac:dyDescent="0.25">
      <c r="A30" s="2">
        <v>29</v>
      </c>
      <c r="B30" t="s">
        <v>27</v>
      </c>
      <c r="C30" t="s">
        <v>34</v>
      </c>
      <c r="D30" s="2">
        <v>15</v>
      </c>
      <c r="E30" s="2">
        <v>35</v>
      </c>
      <c r="F30" s="2">
        <f t="shared" si="0"/>
        <v>525</v>
      </c>
    </row>
    <row r="31" spans="1:13" x14ac:dyDescent="0.25">
      <c r="A31" s="2">
        <v>30</v>
      </c>
      <c r="B31" t="s">
        <v>28</v>
      </c>
      <c r="C31" t="s">
        <v>33</v>
      </c>
      <c r="D31" s="2">
        <v>600</v>
      </c>
      <c r="E31" s="2">
        <v>10</v>
      </c>
      <c r="F31" s="2">
        <f t="shared" si="0"/>
        <v>6000</v>
      </c>
      <c r="H31" t="s">
        <v>49</v>
      </c>
    </row>
    <row r="32" spans="1:13" x14ac:dyDescent="0.25">
      <c r="B32" t="s">
        <v>26</v>
      </c>
      <c r="C32">
        <f>COUNTA(C2:C31)</f>
        <v>30</v>
      </c>
      <c r="E32">
        <f>COUNT(E2:E31)</f>
        <v>30</v>
      </c>
      <c r="F32" s="2">
        <f>SUM(F2:F31)</f>
        <v>189450</v>
      </c>
    </row>
    <row r="33" spans="2:5" x14ac:dyDescent="0.25">
      <c r="E33" t="s">
        <v>40</v>
      </c>
    </row>
    <row r="35" spans="2:5" x14ac:dyDescent="0.25">
      <c r="B35" t="s">
        <v>44</v>
      </c>
      <c r="D35">
        <f>COUNTBLANK(D24:E31)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 Boin</dc:creator>
  <cp:lastModifiedBy>Viji Boin</cp:lastModifiedBy>
  <dcterms:created xsi:type="dcterms:W3CDTF">2024-12-02T07:18:42Z</dcterms:created>
  <dcterms:modified xsi:type="dcterms:W3CDTF">2025-02-26T01:34:32Z</dcterms:modified>
</cp:coreProperties>
</file>