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omp\AppData\Local\Temp\Rar$DIa7924.29130.rartemp\"/>
    </mc:Choice>
  </mc:AlternateContent>
  <xr:revisionPtr revIDLastSave="0" documentId="13_ncr:8001_{4ACE0335-6E66-4E43-A4F7-851F38933819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9" i="1"/>
  <c r="F10" i="1"/>
  <c r="M10" i="1" s="1"/>
  <c r="F11" i="1"/>
  <c r="M11" i="1" s="1"/>
  <c r="F12" i="1"/>
  <c r="M12" i="1" s="1"/>
  <c r="F9" i="1"/>
  <c r="M9" i="1" s="1"/>
  <c r="H9" i="1" l="1"/>
  <c r="I9" i="1"/>
  <c r="L9" i="1"/>
  <c r="H12" i="1"/>
  <c r="I12" i="1" s="1"/>
  <c r="H11" i="1"/>
  <c r="L11" i="1" s="1"/>
  <c r="I11" i="1"/>
  <c r="H10" i="1"/>
  <c r="I10" i="1"/>
  <c r="L10" i="1"/>
  <c r="G3" i="1"/>
  <c r="G4" i="1"/>
  <c r="G5" i="1"/>
  <c r="G2" i="1"/>
  <c r="F3" i="1"/>
  <c r="M3" i="1" s="1"/>
  <c r="F4" i="1"/>
  <c r="M4" i="1" s="1"/>
  <c r="F5" i="1"/>
  <c r="M5" i="1" s="1"/>
  <c r="F2" i="1"/>
  <c r="M2" i="1" s="1"/>
  <c r="N11" i="1" l="1"/>
  <c r="O11" i="1" s="1"/>
  <c r="N9" i="1"/>
  <c r="O9" i="1" s="1"/>
  <c r="N10" i="1"/>
  <c r="O10" i="1" s="1"/>
  <c r="L12" i="1"/>
  <c r="H2" i="1"/>
  <c r="I2" i="1" s="1"/>
  <c r="H5" i="1"/>
  <c r="I5" i="1" s="1"/>
  <c r="H4" i="1"/>
  <c r="H3" i="1"/>
  <c r="I3" i="1"/>
  <c r="L3" i="1"/>
  <c r="N12" i="1" l="1"/>
  <c r="O12" i="1" s="1"/>
  <c r="L2" i="1"/>
  <c r="O2" i="1" s="1"/>
  <c r="L4" i="1"/>
  <c r="N4" i="1" s="1"/>
  <c r="O4" i="1" s="1"/>
  <c r="I4" i="1"/>
  <c r="N3" i="1"/>
  <c r="O3" i="1" s="1"/>
  <c r="N2" i="1"/>
  <c r="L5" i="1"/>
  <c r="N5" i="1" l="1"/>
  <c r="O5" i="1" s="1"/>
</calcChain>
</file>

<file path=xl/sharedStrings.xml><?xml version="1.0" encoding="utf-8"?>
<sst xmlns="http://schemas.openxmlformats.org/spreadsheetml/2006/main" count="57" uniqueCount="30">
  <si>
    <t>NAME</t>
  </si>
  <si>
    <t>MONTHLY BASIC</t>
  </si>
  <si>
    <t>OT RATE</t>
  </si>
  <si>
    <t>DAYS WORKED</t>
  </si>
  <si>
    <t>OT HOURS</t>
  </si>
  <si>
    <t>EARNED BASIC</t>
  </si>
  <si>
    <t>OT AMOUNT</t>
  </si>
  <si>
    <t>DA</t>
  </si>
  <si>
    <t>HRA</t>
  </si>
  <si>
    <t>TA</t>
  </si>
  <si>
    <t>INCENTIVE</t>
  </si>
  <si>
    <t>TOTAL EARNING</t>
  </si>
  <si>
    <t>PF</t>
  </si>
  <si>
    <t>PT</t>
  </si>
  <si>
    <t>NET SALARY</t>
  </si>
  <si>
    <t>ARVIND</t>
  </si>
  <si>
    <t>AMIT</t>
  </si>
  <si>
    <t>KIRAN</t>
  </si>
  <si>
    <t>MANOJ</t>
  </si>
  <si>
    <t>MONTHLY BASIC/26*DAYS WORKED</t>
  </si>
  <si>
    <t>OT RATE * OT HOURS</t>
  </si>
  <si>
    <t>IF(EARNED BASIC&lt;5000,EARNED BASIC*20%, EARNED BASIC*10%)</t>
  </si>
  <si>
    <t>(EARNED BASIC+DA)*30%</t>
  </si>
  <si>
    <t>TOTAL OF  EARNED BASIC+OT AMOUNT+DA+HRA+TA+INCENTIVE</t>
  </si>
  <si>
    <t>IF(EARNED BASIC&lt;=6500,EARNED BASIC*12%,780)</t>
  </si>
  <si>
    <t>IF(TOTAL EARNING&lt;=5000,0,IF(TOTAL EARNING&lt;=10000,175,200))</t>
  </si>
  <si>
    <t>TOTAL EARNING-PF-PT</t>
  </si>
  <si>
    <t>vichareaditya2603@gmail.com</t>
  </si>
  <si>
    <t>gore_swapnil@yahoo.co.in</t>
  </si>
  <si>
    <t>apurvamotiwale@ymail.com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</si>
</sst>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urvamotiwale@ymail.com" TargetMode="External"/><Relationship Id="rId2" Type="http://schemas.openxmlformats.org/officeDocument/2006/relationships/hyperlink" Target="mailto:gore_swapnil@yahoo.co.in" TargetMode="External"/><Relationship Id="rId1" Type="http://schemas.openxmlformats.org/officeDocument/2006/relationships/hyperlink" Target="mailto:vichareaditya2603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topLeftCell="C1" workbookViewId="0">
      <selection activeCell="M15" sqref="M15"/>
    </sheetView>
  </sheetViews>
  <sheetFormatPr defaultRowHeight="15" x14ac:dyDescent="0.25"/>
  <cols>
    <col min="2" max="2" width="15.42578125" bestFit="1" customWidth="1"/>
    <col min="3" max="3" width="8.28515625" bestFit="1" customWidth="1"/>
    <col min="4" max="4" width="14" bestFit="1" customWidth="1"/>
    <col min="5" max="5" width="10" bestFit="1" customWidth="1"/>
    <col min="6" max="6" width="13.85546875" bestFit="1" customWidth="1"/>
    <col min="7" max="7" width="12" bestFit="1" customWidth="1"/>
    <col min="8" max="8" width="7.85546875" customWidth="1"/>
    <col min="9" max="10" width="5" bestFit="1" customWidth="1"/>
    <col min="11" max="11" width="10.42578125" bestFit="1" customWidth="1"/>
    <col min="12" max="12" width="15.28515625" bestFit="1" customWidth="1"/>
    <col min="13" max="13" width="8.28515625" customWidth="1"/>
    <col min="14" max="14" width="8.42578125" bestFit="1" customWidth="1"/>
    <col min="15" max="15" width="11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2080</v>
      </c>
      <c r="C2">
        <v>20</v>
      </c>
      <c r="D2">
        <v>25</v>
      </c>
      <c r="E2">
        <v>20</v>
      </c>
      <c r="F2">
        <f>B2/26*D2</f>
        <v>2000</v>
      </c>
      <c r="G2">
        <f>C2*E2</f>
        <v>400</v>
      </c>
      <c r="H2">
        <f>IF(F2&lt;5000,F2*20%,F2*10%)</f>
        <v>400</v>
      </c>
      <c r="I2">
        <f>(F2+H2)*30%</f>
        <v>720</v>
      </c>
      <c r="J2">
        <v>300</v>
      </c>
      <c r="K2">
        <v>100</v>
      </c>
      <c r="L2">
        <f>SUM(F2:K2)</f>
        <v>3920</v>
      </c>
      <c r="M2">
        <f>IF(F2&lt;=6500,F2*12%,780)</f>
        <v>240</v>
      </c>
      <c r="N2">
        <f t="shared" ref="N2:N5" si="0">IF(L2&lt;=5000,0,IF(L2&lt;=10000,175,200))</f>
        <v>0</v>
      </c>
      <c r="O2">
        <f>L2-M2-N2</f>
        <v>3680</v>
      </c>
    </row>
    <row r="3" spans="1:15" x14ac:dyDescent="0.25">
      <c r="A3" t="s">
        <v>16</v>
      </c>
      <c r="B3">
        <v>10400</v>
      </c>
      <c r="D3">
        <v>26</v>
      </c>
      <c r="F3">
        <f t="shared" ref="F3:F5" si="1">B3/26*D3</f>
        <v>10400</v>
      </c>
      <c r="G3">
        <f t="shared" ref="G3:G5" si="2">C3*E3</f>
        <v>0</v>
      </c>
      <c r="H3">
        <f t="shared" ref="H3:H5" si="3">IF(F3&lt;5000,F3*20%,F3*10%)</f>
        <v>1040</v>
      </c>
      <c r="I3">
        <f t="shared" ref="I3:I5" si="4">(F3+H3)*30%</f>
        <v>3432</v>
      </c>
      <c r="J3">
        <v>1200</v>
      </c>
      <c r="L3">
        <f t="shared" ref="L3:L5" si="5">SUM(F3:K3)</f>
        <v>16072</v>
      </c>
      <c r="M3">
        <f t="shared" ref="M3:M5" si="6">IF(F3&lt;=6500,F3*12%,780)</f>
        <v>780</v>
      </c>
      <c r="N3">
        <f t="shared" si="0"/>
        <v>200</v>
      </c>
      <c r="O3">
        <f t="shared" ref="O3:O5" si="7">L3-M3-N3</f>
        <v>15092</v>
      </c>
    </row>
    <row r="4" spans="1:15" x14ac:dyDescent="0.25">
      <c r="A4" t="s">
        <v>17</v>
      </c>
      <c r="B4">
        <v>6500</v>
      </c>
      <c r="D4">
        <v>24</v>
      </c>
      <c r="F4">
        <f t="shared" si="1"/>
        <v>6000</v>
      </c>
      <c r="G4">
        <f t="shared" si="2"/>
        <v>0</v>
      </c>
      <c r="H4">
        <f t="shared" si="3"/>
        <v>600</v>
      </c>
      <c r="I4">
        <f t="shared" si="4"/>
        <v>1980</v>
      </c>
      <c r="J4">
        <v>900</v>
      </c>
      <c r="L4">
        <f t="shared" si="5"/>
        <v>9480</v>
      </c>
      <c r="M4">
        <f t="shared" si="6"/>
        <v>720</v>
      </c>
      <c r="N4">
        <f t="shared" si="0"/>
        <v>175</v>
      </c>
      <c r="O4">
        <f t="shared" si="7"/>
        <v>8585</v>
      </c>
    </row>
    <row r="5" spans="1:15" x14ac:dyDescent="0.25">
      <c r="A5" t="s">
        <v>18</v>
      </c>
      <c r="B5">
        <v>3900</v>
      </c>
      <c r="C5">
        <v>37.5</v>
      </c>
      <c r="D5">
        <v>25</v>
      </c>
      <c r="E5">
        <v>10</v>
      </c>
      <c r="F5">
        <f t="shared" si="1"/>
        <v>3750</v>
      </c>
      <c r="G5">
        <f t="shared" si="2"/>
        <v>375</v>
      </c>
      <c r="H5">
        <f t="shared" si="3"/>
        <v>750</v>
      </c>
      <c r="I5">
        <f t="shared" si="4"/>
        <v>1350</v>
      </c>
      <c r="J5">
        <v>550</v>
      </c>
      <c r="K5">
        <v>500</v>
      </c>
      <c r="L5">
        <f t="shared" si="5"/>
        <v>7275</v>
      </c>
      <c r="M5">
        <f t="shared" si="6"/>
        <v>450</v>
      </c>
      <c r="N5">
        <f t="shared" si="0"/>
        <v>175</v>
      </c>
      <c r="O5">
        <f t="shared" si="7"/>
        <v>6650</v>
      </c>
    </row>
    <row r="8" spans="1:1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</row>
    <row r="9" spans="1:15" x14ac:dyDescent="0.25">
      <c r="A9" t="s">
        <v>15</v>
      </c>
      <c r="B9">
        <v>2080</v>
      </c>
      <c r="C9">
        <v>20</v>
      </c>
      <c r="D9">
        <v>25</v>
      </c>
      <c r="E9">
        <v>20</v>
      </c>
      <c r="F9">
        <f>B9/26*D9</f>
        <v>2000</v>
      </c>
      <c r="G9">
        <f>C9*E9</f>
        <v>400</v>
      </c>
      <c r="H9">
        <f>IF(F9&lt;5000,F9*20%,F9*10%)</f>
        <v>400</v>
      </c>
      <c r="I9">
        <f>(F9+H9)*30%</f>
        <v>720</v>
      </c>
      <c r="J9">
        <v>300</v>
      </c>
      <c r="K9">
        <v>100</v>
      </c>
      <c r="L9">
        <f>SUM(F9:K9)</f>
        <v>3920</v>
      </c>
      <c r="M9">
        <f>IF(F9&lt;=6500,F9*12%,780)</f>
        <v>240</v>
      </c>
      <c r="N9">
        <f>IF(L9&lt;=5000,0,IF(L9&lt;=10000,175,200))</f>
        <v>0</v>
      </c>
      <c r="O9">
        <f>L9-M9-N9</f>
        <v>3680</v>
      </c>
    </row>
    <row r="10" spans="1:15" x14ac:dyDescent="0.25">
      <c r="A10" t="s">
        <v>16</v>
      </c>
      <c r="B10">
        <v>10400</v>
      </c>
      <c r="D10">
        <v>26</v>
      </c>
      <c r="F10">
        <f t="shared" ref="F10:F12" si="8">B10/26*D10</f>
        <v>10400</v>
      </c>
      <c r="G10">
        <f t="shared" ref="G10:G12" si="9">C10*E10</f>
        <v>0</v>
      </c>
      <c r="H10">
        <f t="shared" ref="H10:H12" si="10">IF(F10&lt;5000,F10*20%,F10*10%)</f>
        <v>1040</v>
      </c>
      <c r="I10">
        <f t="shared" ref="I10:I12" si="11">(F10+H10)*30%</f>
        <v>3432</v>
      </c>
      <c r="J10">
        <v>1200</v>
      </c>
      <c r="L10">
        <f t="shared" ref="L10:L12" si="12">SUM(F10:K10)</f>
        <v>16072</v>
      </c>
      <c r="M10">
        <f t="shared" ref="M10:M12" si="13">IF(F10&lt;=6500,F10*12%,780)</f>
        <v>780</v>
      </c>
      <c r="N10">
        <f t="shared" ref="N10:N12" si="14">IF(L10&lt;=5000,0,IF(L10&lt;=10000,175,200))</f>
        <v>200</v>
      </c>
      <c r="O10">
        <f t="shared" ref="O10:O12" si="15">L10-M10-N10</f>
        <v>15092</v>
      </c>
    </row>
    <row r="11" spans="1:15" x14ac:dyDescent="0.25">
      <c r="A11" t="s">
        <v>17</v>
      </c>
      <c r="B11">
        <v>6500</v>
      </c>
      <c r="D11">
        <v>24</v>
      </c>
      <c r="F11">
        <f t="shared" si="8"/>
        <v>6000</v>
      </c>
      <c r="G11">
        <f t="shared" si="9"/>
        <v>0</v>
      </c>
      <c r="H11">
        <f t="shared" si="10"/>
        <v>600</v>
      </c>
      <c r="I11">
        <f t="shared" si="11"/>
        <v>1980</v>
      </c>
      <c r="J11">
        <v>900</v>
      </c>
      <c r="L11">
        <f t="shared" si="12"/>
        <v>9480</v>
      </c>
      <c r="M11">
        <f t="shared" si="13"/>
        <v>720</v>
      </c>
      <c r="N11">
        <f t="shared" si="14"/>
        <v>175</v>
      </c>
      <c r="O11">
        <f t="shared" si="15"/>
        <v>8585</v>
      </c>
    </row>
    <row r="12" spans="1:15" x14ac:dyDescent="0.25">
      <c r="A12" t="s">
        <v>18</v>
      </c>
      <c r="B12">
        <v>3900</v>
      </c>
      <c r="C12">
        <v>37.5</v>
      </c>
      <c r="D12">
        <v>25</v>
      </c>
      <c r="E12">
        <v>10</v>
      </c>
      <c r="F12">
        <f t="shared" si="8"/>
        <v>3750</v>
      </c>
      <c r="G12">
        <f t="shared" si="9"/>
        <v>375</v>
      </c>
      <c r="H12">
        <f t="shared" si="10"/>
        <v>750</v>
      </c>
      <c r="I12">
        <f t="shared" si="11"/>
        <v>1350</v>
      </c>
      <c r="J12">
        <v>550</v>
      </c>
      <c r="K12">
        <v>500</v>
      </c>
      <c r="L12">
        <f t="shared" si="12"/>
        <v>7275</v>
      </c>
      <c r="M12">
        <f t="shared" si="13"/>
        <v>450</v>
      </c>
      <c r="N12">
        <f t="shared" si="14"/>
        <v>175</v>
      </c>
      <c r="O12">
        <f t="shared" si="15"/>
        <v>6650</v>
      </c>
    </row>
    <row r="14" spans="1:15" x14ac:dyDescent="0.25">
      <c r="B14" t="s">
        <v>5</v>
      </c>
      <c r="C14" t="s">
        <v>19</v>
      </c>
    </row>
    <row r="15" spans="1:15" x14ac:dyDescent="0.25">
      <c r="B15" t="s">
        <v>6</v>
      </c>
      <c r="C15" t="s">
        <v>20</v>
      </c>
    </row>
    <row r="16" spans="1:15" x14ac:dyDescent="0.25">
      <c r="B16" t="s">
        <v>7</v>
      </c>
      <c r="C16" t="s">
        <v>21</v>
      </c>
    </row>
    <row r="17" spans="2:4" x14ac:dyDescent="0.25">
      <c r="B17" t="s">
        <v>8</v>
      </c>
      <c r="C17" t="s">
        <v>22</v>
      </c>
    </row>
    <row r="18" spans="2:4" x14ac:dyDescent="0.25">
      <c r="B18" t="s">
        <v>11</v>
      </c>
      <c r="C18" t="s">
        <v>23</v>
      </c>
    </row>
    <row r="19" spans="2:4" x14ac:dyDescent="0.25">
      <c r="B19" t="s">
        <v>12</v>
      </c>
      <c r="C19" t="s">
        <v>24</v>
      </c>
    </row>
    <row r="20" spans="2:4" x14ac:dyDescent="0.25">
      <c r="B20" t="s">
        <v>13</v>
      </c>
      <c r="C20" t="s">
        <v>25</v>
      </c>
    </row>
    <row r="21" spans="2:4" x14ac:dyDescent="0.25">
      <c r="B21" t="s">
        <v>14</v>
      </c>
      <c r="C21" t="s">
        <v>26</v>
      </c>
    </row>
    <row r="24" spans="2:4" x14ac:dyDescent="0.25">
      <c r="D24" s="1" t="s">
        <v>27</v>
      </c>
    </row>
    <row r="25" spans="2:4" x14ac:dyDescent="0.25">
      <c r="D25" s="1" t="s">
        <v>28</v>
      </c>
    </row>
    <row r="27" spans="2:4" x14ac:dyDescent="0.25">
      <c r="D27" s="1" t="s">
        <v>29</v>
      </c>
    </row>
  </sheetData>
  <hyperlinks>
    <hyperlink ref="D24" r:id="rId1" xr:uid="{00000000-0004-0000-0000-000000000000}"/>
    <hyperlink ref="D25" r:id="rId2" xr:uid="{00000000-0004-0000-0000-000001000000}"/>
    <hyperlink ref="D27" r:id="rId3" xr:uid="{00000000-0004-0000-0000-00000200000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k6</dc:creator>
  <cp:lastModifiedBy>Viji Boin</cp:lastModifiedBy>
  <dcterms:created xsi:type="dcterms:W3CDTF">2018-08-22T03:02:22Z</dcterms:created>
  <dcterms:modified xsi:type="dcterms:W3CDTF">2024-12-31T05:04:54Z</dcterms:modified>
</cp:coreProperties>
</file>