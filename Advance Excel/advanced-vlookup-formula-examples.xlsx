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PREETI\advance excel\"/>
    </mc:Choice>
  </mc:AlternateContent>
  <xr:revisionPtr revIDLastSave="0" documentId="13_ncr:1_{F84828FA-190E-4A25-B4CF-429E7FB9F0D1}" xr6:coauthVersionLast="36" xr6:coauthVersionMax="47" xr10:uidLastSave="{00000000-0000-0000-0000-000000000000}"/>
  <bookViews>
    <workbookView xWindow="-120" yWindow="-120" windowWidth="38640" windowHeight="21240" firstSheet="3" activeTab="5" xr2:uid="{00000000-000D-0000-FFFF-FFFF00000000}"/>
  </bookViews>
  <sheets>
    <sheet name="Vlookup 2 values" sheetId="6" r:id="rId1"/>
    <sheet name="Vlookup Nth instance" sheetId="9" r:id="rId2"/>
    <sheet name="2-way Vlookup" sheetId="11" r:id="rId3"/>
    <sheet name="Nested Vlookup" sheetId="12" r:id="rId4"/>
    <sheet name="VLOOKUP INDIRECT" sheetId="19" r:id="rId5"/>
    <sheet name="VLOOKUP IF" sheetId="21" r:id="rId6"/>
    <sheet name="CA_Sales" sheetId="16" r:id="rId7"/>
    <sheet name="FL_Sales" sheetId="17" r:id="rId8"/>
    <sheet name="KS_Sales" sheetId="18" r:id="rId9"/>
  </sheets>
  <externalReferences>
    <externalReference r:id="rId10"/>
  </externalReferences>
  <definedNames>
    <definedName name="CA_Sales">CA_Sales!$A$2:$B$5</definedName>
    <definedName name="East_sales">[1]East!$B$2:$C$6</definedName>
    <definedName name="FL_Sales">FL_Sales!$A$2:$B$5</definedName>
    <definedName name="KS_Sales">KS_Sales!$A$2:$B$5</definedName>
    <definedName name="Lookup_sheets">'[1]Lookup_sheets range'!$A$2:$A$5</definedName>
    <definedName name="North_sales">[1]North!$B$2:$C$6</definedName>
    <definedName name="Prices">'Nested Vlookup'!$G$2:$H$9</definedName>
    <definedName name="Products">'Nested Vlookup'!$D$2:$E$9</definedName>
    <definedName name="South_sales">[1]South!$B$2:$C$6</definedName>
    <definedName name="West_sales">[1]West!$B$2:$C$6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2" i="12"/>
  <c r="I10" i="11"/>
  <c r="L8" i="19"/>
  <c r="C2" i="21" l="1"/>
  <c r="D2" i="21"/>
  <c r="C3" i="21"/>
  <c r="D3" i="21"/>
  <c r="B3" i="21"/>
  <c r="B2" i="21"/>
  <c r="G2" i="19"/>
  <c r="C2" i="19"/>
  <c r="H3" i="19"/>
  <c r="B3" i="19"/>
  <c r="B2" i="19"/>
  <c r="G3" i="19"/>
  <c r="C3" i="19"/>
  <c r="D2" i="19"/>
  <c r="H2" i="19"/>
  <c r="D3" i="19"/>
  <c r="G4" i="19"/>
  <c r="H4" i="19"/>
  <c r="I3" i="11" l="1"/>
  <c r="F3" i="9" l="1"/>
  <c r="A3" i="9"/>
  <c r="A4" i="9"/>
  <c r="A5" i="9"/>
  <c r="A6" i="9"/>
  <c r="A7" i="9"/>
  <c r="A8" i="9"/>
  <c r="A9" i="9"/>
  <c r="A10" i="9"/>
  <c r="A11" i="9"/>
  <c r="A2" i="9"/>
  <c r="F8" i="9" a="1"/>
  <c r="F8" i="9" s="1"/>
  <c r="F7" i="9" a="1"/>
  <c r="F7" i="9" s="1"/>
  <c r="F6" i="9" a="1"/>
  <c r="F6" i="9" s="1"/>
  <c r="F5" i="9" a="1"/>
  <c r="F5" i="9" s="1"/>
  <c r="G3" i="6"/>
  <c r="A3" i="6"/>
  <c r="A4" i="6"/>
  <c r="A5" i="6"/>
  <c r="A6" i="6"/>
  <c r="A7" i="6"/>
  <c r="A8" i="6"/>
  <c r="A9" i="6"/>
  <c r="A10" i="6"/>
  <c r="A11" i="6"/>
  <c r="A2" i="6"/>
</calcChain>
</file>

<file path=xl/sharedStrings.xml><?xml version="1.0" encoding="utf-8"?>
<sst xmlns="http://schemas.openxmlformats.org/spreadsheetml/2006/main" count="181" uniqueCount="61">
  <si>
    <t>Product:</t>
  </si>
  <si>
    <t>Sweets</t>
  </si>
  <si>
    <t>Qty.</t>
  </si>
  <si>
    <t>Customer</t>
  </si>
  <si>
    <t>Product</t>
  </si>
  <si>
    <t>Apples</t>
  </si>
  <si>
    <t>Biscuits</t>
  </si>
  <si>
    <t>Lemons</t>
  </si>
  <si>
    <t>Pies</t>
  </si>
  <si>
    <t xml:space="preserve"> </t>
  </si>
  <si>
    <t>Dan</t>
  </si>
  <si>
    <t>Jeremy</t>
  </si>
  <si>
    <t>Robert</t>
  </si>
  <si>
    <t>Helper column</t>
  </si>
  <si>
    <t>Date</t>
  </si>
  <si>
    <t>Instance</t>
  </si>
  <si>
    <t>Jan</t>
  </si>
  <si>
    <t>Mar</t>
  </si>
  <si>
    <t>Apr</t>
  </si>
  <si>
    <t>May</t>
  </si>
  <si>
    <t>Grapefruit</t>
  </si>
  <si>
    <t>Lime</t>
  </si>
  <si>
    <t>Oranges</t>
  </si>
  <si>
    <t>Peaches</t>
  </si>
  <si>
    <t>Pears</t>
  </si>
  <si>
    <t>Pineapples</t>
  </si>
  <si>
    <t>Month</t>
  </si>
  <si>
    <t>Sales</t>
  </si>
  <si>
    <t>Price</t>
  </si>
  <si>
    <t>Product 8</t>
  </si>
  <si>
    <t>Product 5</t>
  </si>
  <si>
    <t>Product 7</t>
  </si>
  <si>
    <t>Product 1</t>
  </si>
  <si>
    <t>Product 4</t>
  </si>
  <si>
    <t>Product 6</t>
  </si>
  <si>
    <t>Product 2</t>
  </si>
  <si>
    <t>Product 3</t>
  </si>
  <si>
    <t>A-01</t>
  </si>
  <si>
    <t>A-02</t>
  </si>
  <si>
    <t>A-03</t>
  </si>
  <si>
    <t>A-04</t>
  </si>
  <si>
    <t>A-05</t>
  </si>
  <si>
    <t>A-06</t>
  </si>
  <si>
    <t>A-07</t>
  </si>
  <si>
    <t>A-08</t>
  </si>
  <si>
    <t>Item ID</t>
  </si>
  <si>
    <t>Bananas</t>
  </si>
  <si>
    <t>CA</t>
  </si>
  <si>
    <t>FL</t>
  </si>
  <si>
    <t>KS</t>
  </si>
  <si>
    <t>VLOOKUP(G1&amp;" "&amp;G2, A2:D11, 4, FALSE)</t>
  </si>
  <si>
    <t>VLOOKUP($A3, INDIRECT(B$1&amp;"_Sales"), 2, FALSE)</t>
  </si>
  <si>
    <t>VLOOKUP(F1&amp;F2, A2:C11, 3, FALSE)</t>
  </si>
  <si>
    <t>VLOOKUP(I1, A2:F9, MATCH(I2, A1:F1, 0), FALSE)</t>
  </si>
  <si>
    <t>ORANGES</t>
  </si>
  <si>
    <t>Feb</t>
  </si>
  <si>
    <t>VLOOKUP(VLOOKUP(A2, Products, 2, FALSE), Prices, 2, FALSE)</t>
  </si>
  <si>
    <t>m1</t>
  </si>
  <si>
    <t>hello</t>
  </si>
  <si>
    <t>VLOOKUP($A2, IF(B$1="CA", CA_Sales, IF(B$1="FL", FL_Sales, IF(B$1="KS", KS_Sales,""))), 2, FALSE)</t>
  </si>
  <si>
    <t>VLOOKUP(G$1, INDIRECT($F2&amp;"_Sales"), 2,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</si>
</sst>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[$-409]d\-mmm;@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/>
      <bottom/>
      <diagonal/>
    </border>
    <border>
      <left/>
      <right style="thin">
        <color theme="8" tint="0.39994506668294322"/>
      </right>
      <top/>
      <bottom/>
      <diagonal/>
    </border>
    <border>
      <left style="thin">
        <color theme="8" tint="0.39994506668294322"/>
      </left>
      <right/>
      <top/>
      <bottom style="thin">
        <color theme="8" tint="0.39994506668294322"/>
      </bottom>
      <diagonal/>
    </border>
    <border>
      <left/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1454817346722"/>
      </left>
      <right/>
      <top style="thin">
        <color theme="8" tint="0.39991454817346722"/>
      </top>
      <bottom/>
      <diagonal/>
    </border>
    <border>
      <left/>
      <right style="thin">
        <color theme="8" tint="0.39991454817346722"/>
      </right>
      <top style="thin">
        <color theme="8" tint="0.39991454817346722"/>
      </top>
      <bottom/>
      <diagonal/>
    </border>
    <border>
      <left style="thin">
        <color theme="8" tint="0.39991454817346722"/>
      </left>
      <right/>
      <top/>
      <bottom/>
      <diagonal/>
    </border>
    <border>
      <left/>
      <right style="thin">
        <color theme="8" tint="0.39991454817346722"/>
      </right>
      <top/>
      <bottom/>
      <diagonal/>
    </border>
    <border>
      <left style="thin">
        <color theme="8" tint="0.39991454817346722"/>
      </left>
      <right/>
      <top/>
      <bottom style="thin">
        <color theme="8" tint="0.399914548173467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/>
      <diagonal/>
    </border>
    <border>
      <left/>
      <right/>
      <top style="thin">
        <color theme="9" tint="0.39994506668294322"/>
      </top>
      <bottom/>
      <diagonal/>
    </border>
    <border>
      <left/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/>
      <right/>
      <top/>
      <bottom style="thin">
        <color theme="9" tint="0.39994506668294322"/>
      </bottom>
      <diagonal/>
    </border>
    <border>
      <left/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1454817346722"/>
      </left>
      <right/>
      <top style="thin">
        <color theme="9" tint="0.39991454817346722"/>
      </top>
      <bottom/>
      <diagonal/>
    </border>
    <border>
      <left/>
      <right/>
      <top style="thin">
        <color theme="9" tint="0.39991454817346722"/>
      </top>
      <bottom/>
      <diagonal/>
    </border>
    <border>
      <left/>
      <right style="thin">
        <color theme="9" tint="0.39991454817346722"/>
      </right>
      <top style="thin">
        <color theme="9" tint="0.39991454817346722"/>
      </top>
      <bottom/>
      <diagonal/>
    </border>
    <border>
      <left style="thin">
        <color theme="9" tint="0.39991454817346722"/>
      </left>
      <right/>
      <top/>
      <bottom/>
      <diagonal/>
    </border>
    <border>
      <left/>
      <right style="thin">
        <color theme="9" tint="0.39991454817346722"/>
      </right>
      <top/>
      <bottom/>
      <diagonal/>
    </border>
    <border>
      <left style="thin">
        <color theme="9" tint="0.39991454817346722"/>
      </left>
      <right/>
      <top/>
      <bottom style="thin">
        <color theme="9" tint="0.39991454817346722"/>
      </bottom>
      <diagonal/>
    </border>
    <border>
      <left/>
      <right/>
      <top/>
      <bottom style="thin">
        <color theme="9" tint="0.39991454817346722"/>
      </bottom>
      <diagonal/>
    </border>
    <border>
      <left/>
      <right style="thin">
        <color theme="9" tint="0.39991454817346722"/>
      </right>
      <top/>
      <bottom style="thin">
        <color theme="9" tint="0.39991454817346722"/>
      </bottom>
      <diagonal/>
    </border>
    <border>
      <left style="thin">
        <color theme="9" tint="0.39994506668294322"/>
      </left>
      <right/>
      <top/>
      <bottom/>
      <diagonal/>
    </border>
    <border>
      <left/>
      <right style="thin">
        <color theme="9" tint="0.39994506668294322"/>
      </right>
      <top/>
      <bottom/>
      <diagonal/>
    </border>
    <border>
      <left style="thin">
        <color theme="9" tint="0.39988402966399123"/>
      </left>
      <right/>
      <top style="thin">
        <color theme="9" tint="0.39988402966399123"/>
      </top>
      <bottom/>
      <diagonal/>
    </border>
    <border>
      <left/>
      <right/>
      <top style="thin">
        <color theme="9" tint="0.39988402966399123"/>
      </top>
      <bottom/>
      <diagonal/>
    </border>
    <border>
      <left/>
      <right style="thin">
        <color theme="9" tint="0.39988402966399123"/>
      </right>
      <top style="thin">
        <color theme="9" tint="0.39988402966399123"/>
      </top>
      <bottom/>
      <diagonal/>
    </border>
    <border>
      <left style="thin">
        <color theme="9" tint="0.39988402966399123"/>
      </left>
      <right/>
      <top/>
      <bottom/>
      <diagonal/>
    </border>
    <border>
      <left/>
      <right style="thin">
        <color theme="9" tint="0.39988402966399123"/>
      </right>
      <top/>
      <bottom/>
      <diagonal/>
    </border>
    <border>
      <left style="thin">
        <color theme="9" tint="0.39988402966399123"/>
      </left>
      <right/>
      <top/>
      <bottom style="thin">
        <color theme="9" tint="0.39988402966399123"/>
      </bottom>
      <diagonal/>
    </border>
    <border>
      <left/>
      <right/>
      <top/>
      <bottom style="thin">
        <color theme="9" tint="0.39988402966399123"/>
      </bottom>
      <diagonal/>
    </border>
    <border>
      <left/>
      <right style="thin">
        <color theme="9" tint="0.39988402966399123"/>
      </right>
      <top/>
      <bottom style="thin">
        <color theme="9" tint="0.39988402966399123"/>
      </bottom>
      <diagonal/>
    </border>
  </borders>
  <cellStyleXfs count="6">
    <xf numFmtId="0" fontId="0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164" fontId="0" fillId="0" borderId="0" xfId="0" applyNumberFormat="1"/>
    <xf numFmtId="0" fontId="3" fillId="2" borderId="0" xfId="0" applyFont="1" applyFill="1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right"/>
    </xf>
    <xf numFmtId="165" fontId="0" fillId="0" borderId="0" xfId="0" applyNumberFormat="1"/>
    <xf numFmtId="0" fontId="0" fillId="0" borderId="0" xfId="0" applyBorder="1"/>
    <xf numFmtId="0" fontId="3" fillId="0" borderId="3" xfId="0" applyFont="1" applyBorder="1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3" fillId="0" borderId="5" xfId="0" applyFont="1" applyBorder="1"/>
    <xf numFmtId="164" fontId="0" fillId="0" borderId="6" xfId="0" applyNumberFormat="1" applyBorder="1"/>
    <xf numFmtId="0" fontId="3" fillId="2" borderId="7" xfId="0" applyFont="1" applyFill="1" applyBorder="1"/>
    <xf numFmtId="0" fontId="3" fillId="2" borderId="8" xfId="0" applyFont="1" applyFill="1" applyBorder="1"/>
    <xf numFmtId="0" fontId="0" fillId="0" borderId="9" xfId="0" applyBorder="1"/>
    <xf numFmtId="166" fontId="0" fillId="0" borderId="10" xfId="0" applyNumberFormat="1" applyBorder="1"/>
    <xf numFmtId="0" fontId="0" fillId="0" borderId="11" xfId="0" applyBorder="1"/>
    <xf numFmtId="166" fontId="0" fillId="0" borderId="12" xfId="0" applyNumberFormat="1" applyBorder="1"/>
    <xf numFmtId="0" fontId="0" fillId="0" borderId="10" xfId="0" applyBorder="1"/>
    <xf numFmtId="0" fontId="0" fillId="0" borderId="12" xfId="0" applyBorder="1"/>
    <xf numFmtId="0" fontId="3" fillId="2" borderId="13" xfId="0" applyFont="1" applyFill="1" applyBorder="1"/>
    <xf numFmtId="0" fontId="3" fillId="2" borderId="14" xfId="0" applyFont="1" applyFill="1" applyBorder="1"/>
    <xf numFmtId="0" fontId="0" fillId="0" borderId="15" xfId="0" applyBorder="1"/>
    <xf numFmtId="166" fontId="0" fillId="0" borderId="16" xfId="0" applyNumberFormat="1" applyBorder="1"/>
    <xf numFmtId="0" fontId="0" fillId="0" borderId="17" xfId="0" applyBorder="1"/>
    <xf numFmtId="0" fontId="0" fillId="0" borderId="0" xfId="0"/>
    <xf numFmtId="164" fontId="0" fillId="0" borderId="10" xfId="0" applyNumberFormat="1" applyBorder="1"/>
    <xf numFmtId="164" fontId="0" fillId="0" borderId="12" xfId="0" applyNumberFormat="1" applyBorder="1"/>
    <xf numFmtId="0" fontId="3" fillId="4" borderId="19" xfId="0" applyFont="1" applyFill="1" applyBorder="1"/>
    <xf numFmtId="0" fontId="3" fillId="4" borderId="20" xfId="0" applyFont="1" applyFill="1" applyBorder="1"/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3" fillId="4" borderId="24" xfId="0" applyFont="1" applyFill="1" applyBorder="1"/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4" fillId="0" borderId="27" xfId="0" applyFont="1" applyBorder="1"/>
    <xf numFmtId="164" fontId="0" fillId="0" borderId="0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0" borderId="29" xfId="0" applyBorder="1"/>
    <xf numFmtId="164" fontId="0" fillId="0" borderId="30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3" fillId="0" borderId="18" xfId="0" applyFont="1" applyFill="1" applyBorder="1"/>
    <xf numFmtId="164" fontId="0" fillId="0" borderId="33" xfId="0" applyNumberFormat="1" applyBorder="1" applyAlignment="1">
      <alignment horizontal="center"/>
    </xf>
    <xf numFmtId="0" fontId="3" fillId="0" borderId="32" xfId="0" applyFont="1" applyFill="1" applyBorder="1" applyAlignment="1">
      <alignment horizontal="left"/>
    </xf>
    <xf numFmtId="0" fontId="3" fillId="0" borderId="21" xfId="0" applyFont="1" applyFill="1" applyBorder="1" applyAlignment="1">
      <alignment horizontal="left"/>
    </xf>
    <xf numFmtId="0" fontId="3" fillId="4" borderId="34" xfId="0" applyFont="1" applyFill="1" applyBorder="1"/>
    <xf numFmtId="0" fontId="3" fillId="4" borderId="35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4" fillId="0" borderId="37" xfId="0" applyFont="1" applyBorder="1"/>
    <xf numFmtId="164" fontId="0" fillId="0" borderId="38" xfId="0" applyNumberFormat="1" applyBorder="1" applyAlignment="1">
      <alignment horizontal="center"/>
    </xf>
    <xf numFmtId="0" fontId="0" fillId="0" borderId="39" xfId="0" applyBorder="1"/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</cellXfs>
  <cellStyles count="6">
    <cellStyle name="Hyperlink 2" xfId="2" xr:uid="{83B0904C-E824-4096-AC32-680FDEB16BB9}"/>
    <cellStyle name="Hyperlink 3" xfId="3" xr:uid="{82E7543C-701B-4F9F-892C-8AABA53381D8}"/>
    <cellStyle name="Hyperlink 4" xfId="5" xr:uid="{07C8EA5F-A1A7-4DE2-ACB5-858E26F41E28}"/>
    <cellStyle name="Normal" xfId="0" builtinId="0"/>
    <cellStyle name="Normal 2" xfId="1" xr:uid="{72FA15B5-6DE0-4255-B32C-CB00A5507F03}"/>
    <cellStyle name="Normal 3" xfId="4" xr:uid="{386B7D72-CC88-4B7C-9AE8-4AD2B2D3A2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Sveta\Vlookup%20between%20sheets\vlookup-multiple-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 across sheets"/>
      <sheetName val="Vlookup another sheet"/>
      <sheetName val="VLOOKUP IFERROR"/>
      <sheetName val="VLOOKUP INDIRECT"/>
      <sheetName val="Dynamic VLOOKUP"/>
      <sheetName val="Lookup_sheets range"/>
      <sheetName val="Jan"/>
      <sheetName val="Feb"/>
      <sheetName val="Mar"/>
      <sheetName val="East"/>
      <sheetName val="North"/>
      <sheetName val="South"/>
      <sheetName val="W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East</v>
          </cell>
        </row>
        <row r="3">
          <cell r="A3" t="str">
            <v>South</v>
          </cell>
        </row>
        <row r="4">
          <cell r="A4" t="str">
            <v>North</v>
          </cell>
        </row>
        <row r="5">
          <cell r="A5" t="str">
            <v>West</v>
          </cell>
        </row>
      </sheetData>
      <sheetData sheetId="6" refreshError="1"/>
      <sheetData sheetId="7" refreshError="1"/>
      <sheetData sheetId="8" refreshError="1"/>
      <sheetData sheetId="9">
        <row r="2">
          <cell r="B2" t="str">
            <v>Oranges</v>
          </cell>
          <cell r="C2">
            <v>127</v>
          </cell>
        </row>
        <row r="3">
          <cell r="B3" t="str">
            <v>Bananas</v>
          </cell>
          <cell r="C3">
            <v>100</v>
          </cell>
        </row>
        <row r="4">
          <cell r="B4" t="str">
            <v>Pears</v>
          </cell>
          <cell r="C4">
            <v>110</v>
          </cell>
        </row>
        <row r="5">
          <cell r="B5" t="str">
            <v>Lemons</v>
          </cell>
          <cell r="C5">
            <v>145</v>
          </cell>
        </row>
        <row r="6">
          <cell r="B6" t="str">
            <v>Apples</v>
          </cell>
          <cell r="C6">
            <v>100</v>
          </cell>
        </row>
      </sheetData>
      <sheetData sheetId="10">
        <row r="2">
          <cell r="B2" t="str">
            <v>Oranges</v>
          </cell>
          <cell r="C2">
            <v>120</v>
          </cell>
        </row>
        <row r="3">
          <cell r="B3" t="str">
            <v>Bananas</v>
          </cell>
          <cell r="C3">
            <v>120</v>
          </cell>
        </row>
        <row r="4">
          <cell r="B4" t="str">
            <v>Pears</v>
          </cell>
          <cell r="C4">
            <v>130</v>
          </cell>
        </row>
        <row r="5">
          <cell r="B5" t="str">
            <v>Lemons</v>
          </cell>
          <cell r="C5">
            <v>125</v>
          </cell>
        </row>
        <row r="6">
          <cell r="B6" t="str">
            <v>Apples</v>
          </cell>
          <cell r="C6">
            <v>140</v>
          </cell>
        </row>
      </sheetData>
      <sheetData sheetId="11">
        <row r="2">
          <cell r="B2" t="str">
            <v>Oranges</v>
          </cell>
          <cell r="C2">
            <v>115</v>
          </cell>
        </row>
        <row r="3">
          <cell r="B3" t="str">
            <v>Bananas</v>
          </cell>
          <cell r="C3">
            <v>118</v>
          </cell>
        </row>
        <row r="4">
          <cell r="B4" t="str">
            <v>Apples</v>
          </cell>
          <cell r="C4">
            <v>120</v>
          </cell>
        </row>
        <row r="5">
          <cell r="B5" t="str">
            <v>Lemons</v>
          </cell>
          <cell r="C5">
            <v>118</v>
          </cell>
        </row>
        <row r="6">
          <cell r="B6" t="str">
            <v>Pears</v>
          </cell>
          <cell r="C6">
            <v>130</v>
          </cell>
        </row>
      </sheetData>
      <sheetData sheetId="12">
        <row r="2">
          <cell r="B2" t="str">
            <v>Oranges</v>
          </cell>
          <cell r="C2">
            <v>125</v>
          </cell>
        </row>
        <row r="3">
          <cell r="B3" t="str">
            <v>Bananas</v>
          </cell>
          <cell r="C3">
            <v>120</v>
          </cell>
        </row>
        <row r="4">
          <cell r="B4" t="str">
            <v>Lemons</v>
          </cell>
          <cell r="C4">
            <v>132</v>
          </cell>
        </row>
        <row r="5">
          <cell r="B5" t="str">
            <v>Apples</v>
          </cell>
          <cell r="C5">
            <v>118</v>
          </cell>
        </row>
        <row r="6">
          <cell r="B6" t="str">
            <v>Pears</v>
          </cell>
          <cell r="C6">
            <v>115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BBB3-3B69-4701-9FAA-A345D2CA0610}">
  <dimension ref="A1:I11"/>
  <sheetViews>
    <sheetView workbookViewId="0">
      <selection activeCell="G19" sqref="G19"/>
    </sheetView>
  </sheetViews>
  <sheetFormatPr defaultRowHeight="15" x14ac:dyDescent="0.25"/>
  <cols>
    <col min="1" max="1" width="15.28515625" customWidth="1"/>
    <col min="2" max="2" width="11.5703125" customWidth="1"/>
    <col min="3" max="3" width="11.140625" customWidth="1"/>
    <col min="4" max="4" width="7.5703125" customWidth="1"/>
    <col min="6" max="7" width="11.28515625" customWidth="1"/>
  </cols>
  <sheetData>
    <row r="1" spans="1:9" x14ac:dyDescent="0.25">
      <c r="A1" s="2" t="s">
        <v>13</v>
      </c>
      <c r="B1" s="2" t="s">
        <v>3</v>
      </c>
      <c r="C1" s="2" t="s">
        <v>4</v>
      </c>
      <c r="D1" s="2" t="s">
        <v>2</v>
      </c>
      <c r="F1" s="3" t="s">
        <v>3</v>
      </c>
      <c r="G1" s="4" t="s">
        <v>11</v>
      </c>
    </row>
    <row r="2" spans="1:9" x14ac:dyDescent="0.25">
      <c r="A2" t="str">
        <f>B2&amp;" "&amp;C2</f>
        <v>Dan Apples</v>
      </c>
      <c r="B2" t="s">
        <v>10</v>
      </c>
      <c r="C2" t="s">
        <v>5</v>
      </c>
      <c r="D2">
        <v>14</v>
      </c>
      <c r="F2" s="5" t="s">
        <v>0</v>
      </c>
      <c r="G2" s="6" t="s">
        <v>1</v>
      </c>
    </row>
    <row r="3" spans="1:9" x14ac:dyDescent="0.25">
      <c r="A3" t="str">
        <f t="shared" ref="A3:A11" si="0">B3&amp;" "&amp;C3</f>
        <v>Dan Biscuits</v>
      </c>
      <c r="B3" t="s">
        <v>10</v>
      </c>
      <c r="C3" t="s">
        <v>6</v>
      </c>
      <c r="D3">
        <v>7</v>
      </c>
      <c r="F3" s="7" t="s">
        <v>2</v>
      </c>
      <c r="G3" s="9">
        <f>VLOOKUP(G1&amp;" "&amp;G2, A2:D11, 4, FALSE)</f>
        <v>2</v>
      </c>
    </row>
    <row r="4" spans="1:9" x14ac:dyDescent="0.25">
      <c r="A4" t="str">
        <f t="shared" si="0"/>
        <v>Dan Sweets</v>
      </c>
      <c r="B4" t="s">
        <v>10</v>
      </c>
      <c r="C4" t="s">
        <v>1</v>
      </c>
      <c r="D4">
        <v>19</v>
      </c>
    </row>
    <row r="5" spans="1:9" x14ac:dyDescent="0.25">
      <c r="A5" t="str">
        <f t="shared" si="0"/>
        <v>Jeremy Apples</v>
      </c>
      <c r="B5" t="s">
        <v>11</v>
      </c>
      <c r="C5" t="s">
        <v>5</v>
      </c>
      <c r="D5">
        <v>15</v>
      </c>
      <c r="I5" t="s">
        <v>50</v>
      </c>
    </row>
    <row r="6" spans="1:9" x14ac:dyDescent="0.25">
      <c r="A6" t="str">
        <f t="shared" si="0"/>
        <v>Jeremy Biscuits</v>
      </c>
      <c r="B6" t="s">
        <v>11</v>
      </c>
      <c r="C6" t="s">
        <v>6</v>
      </c>
      <c r="D6">
        <v>8</v>
      </c>
    </row>
    <row r="7" spans="1:9" x14ac:dyDescent="0.25">
      <c r="A7" t="str">
        <f t="shared" si="0"/>
        <v>Jeremy Sweets</v>
      </c>
      <c r="B7" t="s">
        <v>11</v>
      </c>
      <c r="C7" t="s">
        <v>1</v>
      </c>
      <c r="D7">
        <v>2</v>
      </c>
    </row>
    <row r="8" spans="1:9" x14ac:dyDescent="0.25">
      <c r="A8" t="str">
        <f t="shared" si="0"/>
        <v>Robert Biscuits</v>
      </c>
      <c r="B8" t="s">
        <v>12</v>
      </c>
      <c r="C8" t="s">
        <v>6</v>
      </c>
      <c r="D8">
        <v>5</v>
      </c>
    </row>
    <row r="9" spans="1:9" x14ac:dyDescent="0.25">
      <c r="A9" t="str">
        <f t="shared" si="0"/>
        <v>Robert Lemons</v>
      </c>
      <c r="B9" t="s">
        <v>12</v>
      </c>
      <c r="C9" t="s">
        <v>7</v>
      </c>
      <c r="D9">
        <v>11</v>
      </c>
    </row>
    <row r="10" spans="1:9" x14ac:dyDescent="0.25">
      <c r="A10" t="str">
        <f t="shared" si="0"/>
        <v>Robert Pies</v>
      </c>
      <c r="B10" t="s">
        <v>12</v>
      </c>
      <c r="C10" t="s">
        <v>8</v>
      </c>
      <c r="D10">
        <v>17</v>
      </c>
    </row>
    <row r="11" spans="1:9" x14ac:dyDescent="0.25">
      <c r="A11" t="str">
        <f t="shared" si="0"/>
        <v>Robert Sweets</v>
      </c>
      <c r="B11" t="s">
        <v>12</v>
      </c>
      <c r="C11" t="s">
        <v>1</v>
      </c>
      <c r="D11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E9B5-0551-4567-A351-DF03E5B0630A}">
  <dimension ref="A1:K24"/>
  <sheetViews>
    <sheetView workbookViewId="0">
      <selection activeCell="G9" sqref="G9"/>
    </sheetView>
  </sheetViews>
  <sheetFormatPr defaultRowHeight="15" x14ac:dyDescent="0.25"/>
  <cols>
    <col min="1" max="1" width="11.5703125" customWidth="1"/>
    <col min="2" max="2" width="11.140625" customWidth="1"/>
    <col min="3" max="3" width="12" customWidth="1"/>
    <col min="5" max="5" width="10.5703125" customWidth="1"/>
    <col min="6" max="6" width="12.85546875" customWidth="1"/>
  </cols>
  <sheetData>
    <row r="1" spans="1:8" x14ac:dyDescent="0.25">
      <c r="A1" s="2" t="s">
        <v>14</v>
      </c>
      <c r="B1" s="2" t="s">
        <v>3</v>
      </c>
      <c r="C1" s="2" t="s">
        <v>4</v>
      </c>
      <c r="E1" s="3" t="s">
        <v>3</v>
      </c>
      <c r="F1" s="4" t="s">
        <v>11</v>
      </c>
    </row>
    <row r="2" spans="1:8" x14ac:dyDescent="0.25">
      <c r="A2" s="10" t="str">
        <f>B2&amp;COUNTIF($B$2:B2, B2)</f>
        <v>Dan1</v>
      </c>
      <c r="B2" t="s">
        <v>10</v>
      </c>
      <c r="C2" t="s">
        <v>5</v>
      </c>
      <c r="E2" s="12" t="s">
        <v>15</v>
      </c>
      <c r="F2" s="6">
        <v>3</v>
      </c>
      <c r="H2" t="s">
        <v>52</v>
      </c>
    </row>
    <row r="3" spans="1:8" x14ac:dyDescent="0.25">
      <c r="A3" s="10" t="str">
        <f>B3&amp;COUNTIF($B$2:B3, B3)</f>
        <v>Dan2</v>
      </c>
      <c r="B3" t="s">
        <v>10</v>
      </c>
      <c r="C3" t="s">
        <v>6</v>
      </c>
      <c r="E3" s="7" t="s">
        <v>4</v>
      </c>
      <c r="F3" s="8" t="str">
        <f>VLOOKUP(F1&amp;F2, A2:C11, 3, FALSE)</f>
        <v>Pies</v>
      </c>
    </row>
    <row r="4" spans="1:8" x14ac:dyDescent="0.25">
      <c r="A4" s="10" t="str">
        <f>B4&amp;COUNTIF($B$2:B4, B4)</f>
        <v>Dan3</v>
      </c>
      <c r="B4" t="s">
        <v>10</v>
      </c>
      <c r="C4" t="s">
        <v>5</v>
      </c>
      <c r="E4" s="11"/>
      <c r="F4" s="11"/>
    </row>
    <row r="5" spans="1:8" x14ac:dyDescent="0.25">
      <c r="A5" s="10" t="str">
        <f>B5&amp;COUNTIF($B$2:B5, B5)</f>
        <v>Dan4</v>
      </c>
      <c r="B5" t="s">
        <v>10</v>
      </c>
      <c r="C5" t="s">
        <v>6</v>
      </c>
      <c r="E5" s="11"/>
      <c r="F5" s="11" t="str">
        <f t="array" ref="F5">IFERROR(INDEX($C$2:$C$11, SMALL(IF($F$1=B5:B14, ROW(C5:C14)-1,""), ROW()-1)),"")</f>
        <v/>
      </c>
    </row>
    <row r="6" spans="1:8" x14ac:dyDescent="0.25">
      <c r="A6" s="10" t="str">
        <f>B6&amp;COUNTIF($B$2:B6, B6)</f>
        <v>Jeremy1</v>
      </c>
      <c r="B6" t="s">
        <v>11</v>
      </c>
      <c r="C6" t="s">
        <v>1</v>
      </c>
      <c r="E6" s="11"/>
      <c r="F6" s="11" t="str">
        <f t="array" ref="F6">IFERROR(INDEX($C$2:$C$11, SMALL(IF($F$1=B6:B15, ROW(C6:C15)-1,""), ROW()-1)),"")</f>
        <v/>
      </c>
    </row>
    <row r="7" spans="1:8" x14ac:dyDescent="0.25">
      <c r="A7" s="10" t="str">
        <f>B7&amp;COUNTIF($B$2:B7, B7)</f>
        <v>Jeremy2</v>
      </c>
      <c r="B7" t="s">
        <v>11</v>
      </c>
      <c r="C7" t="s">
        <v>6</v>
      </c>
      <c r="E7" s="11"/>
      <c r="F7" s="11" t="str">
        <f t="array" ref="F7">IFERROR(INDEX($C$2:$C$11, SMALL(IF($F$1=B7:B16, ROW(C7:C16)-1,""), ROW()-1)),"")</f>
        <v/>
      </c>
    </row>
    <row r="8" spans="1:8" x14ac:dyDescent="0.25">
      <c r="A8" s="10" t="str">
        <f>B8&amp;COUNTIF($B$2:B8, B8)</f>
        <v>Jeremy3</v>
      </c>
      <c r="B8" t="s">
        <v>11</v>
      </c>
      <c r="C8" t="s">
        <v>8</v>
      </c>
      <c r="E8" s="11"/>
      <c r="F8" s="11" t="str">
        <f t="array" ref="F8">IFERROR(INDEX($C$2:$C$11, SMALL(IF($F$1=B8:B17, ROW(C8:C17)-1,""), ROW()-1)),"")</f>
        <v/>
      </c>
    </row>
    <row r="9" spans="1:8" x14ac:dyDescent="0.25">
      <c r="A9" s="10" t="str">
        <f>B9&amp;COUNTIF($B$2:B9, B9)</f>
        <v>Robert1</v>
      </c>
      <c r="B9" t="s">
        <v>12</v>
      </c>
      <c r="C9" t="s">
        <v>7</v>
      </c>
    </row>
    <row r="10" spans="1:8" x14ac:dyDescent="0.25">
      <c r="A10" s="10" t="str">
        <f>B10&amp;COUNTIF($B$2:B10, B10)</f>
        <v>Robert2</v>
      </c>
      <c r="B10" t="s">
        <v>12</v>
      </c>
      <c r="C10" t="s">
        <v>1</v>
      </c>
    </row>
    <row r="11" spans="1:8" x14ac:dyDescent="0.25">
      <c r="A11" s="10" t="str">
        <f>B11&amp;COUNTIF($B$2:B11, B11)</f>
        <v>Robert3</v>
      </c>
      <c r="B11" t="s">
        <v>12</v>
      </c>
      <c r="C11" t="s">
        <v>1</v>
      </c>
    </row>
    <row r="24" spans="11:11" x14ac:dyDescent="0.25">
      <c r="K24" t="s">
        <v>9</v>
      </c>
    </row>
  </sheetData>
  <sortState ref="A2:C11">
    <sortCondition ref="B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72AD-6C5C-4043-985D-AF28EAB86E6D}">
  <dimension ref="A1:K10"/>
  <sheetViews>
    <sheetView workbookViewId="0">
      <selection activeCell="I10" sqref="I10"/>
    </sheetView>
  </sheetViews>
  <sheetFormatPr defaultRowHeight="15" x14ac:dyDescent="0.25"/>
  <cols>
    <col min="1" max="1" width="12.140625" customWidth="1"/>
  </cols>
  <sheetData>
    <row r="1" spans="1:11" x14ac:dyDescent="0.25">
      <c r="A1" s="13"/>
      <c r="B1" s="2" t="s">
        <v>16</v>
      </c>
      <c r="C1" s="2" t="s">
        <v>55</v>
      </c>
      <c r="D1" s="2" t="s">
        <v>17</v>
      </c>
      <c r="E1" s="2" t="s">
        <v>18</v>
      </c>
      <c r="F1" s="2" t="s">
        <v>19</v>
      </c>
      <c r="H1" s="15" t="s">
        <v>53</v>
      </c>
      <c r="I1" s="4" t="s">
        <v>21</v>
      </c>
    </row>
    <row r="2" spans="1:11" x14ac:dyDescent="0.25">
      <c r="A2" s="14" t="s">
        <v>5</v>
      </c>
      <c r="B2" s="1">
        <v>2773</v>
      </c>
      <c r="C2" s="1">
        <v>17462</v>
      </c>
      <c r="D2" s="1">
        <v>5954</v>
      </c>
      <c r="E2" s="1">
        <v>1348</v>
      </c>
      <c r="F2" s="1">
        <v>28158</v>
      </c>
      <c r="H2" s="12" t="s">
        <v>26</v>
      </c>
      <c r="I2" s="6" t="s">
        <v>17</v>
      </c>
    </row>
    <row r="3" spans="1:11" x14ac:dyDescent="0.25">
      <c r="A3" s="14" t="s">
        <v>20</v>
      </c>
      <c r="B3" s="1">
        <v>12908</v>
      </c>
      <c r="C3" s="1">
        <v>3083</v>
      </c>
      <c r="D3" s="1">
        <v>24492</v>
      </c>
      <c r="E3" s="1">
        <v>5825</v>
      </c>
      <c r="F3" s="1">
        <v>1080</v>
      </c>
      <c r="H3" s="16" t="s">
        <v>27</v>
      </c>
      <c r="I3" s="17">
        <f>VLOOKUP(I1, A2:F9, MATCH(I2, A1:F1, 0), FALSE)</f>
        <v>20019</v>
      </c>
      <c r="K3" t="s">
        <v>53</v>
      </c>
    </row>
    <row r="4" spans="1:11" x14ac:dyDescent="0.25">
      <c r="A4" s="14" t="s">
        <v>7</v>
      </c>
      <c r="B4" s="1">
        <v>6554</v>
      </c>
      <c r="C4" s="1">
        <v>14262</v>
      </c>
      <c r="D4" s="1">
        <v>8377</v>
      </c>
      <c r="E4" s="1">
        <v>24982</v>
      </c>
      <c r="F4" s="1">
        <v>12184</v>
      </c>
    </row>
    <row r="5" spans="1:11" x14ac:dyDescent="0.25">
      <c r="A5" s="14" t="s">
        <v>21</v>
      </c>
      <c r="B5" s="1">
        <v>28913</v>
      </c>
      <c r="C5" s="1">
        <v>1437</v>
      </c>
      <c r="D5" s="1">
        <v>20019</v>
      </c>
      <c r="E5" s="1">
        <v>13026</v>
      </c>
      <c r="F5" s="1">
        <v>26952</v>
      </c>
    </row>
    <row r="6" spans="1:11" x14ac:dyDescent="0.25">
      <c r="A6" s="14" t="s">
        <v>22</v>
      </c>
      <c r="B6" s="1">
        <v>4768</v>
      </c>
      <c r="C6" s="1">
        <v>7622</v>
      </c>
      <c r="D6" s="1">
        <v>28918</v>
      </c>
      <c r="E6" s="1">
        <v>27141</v>
      </c>
      <c r="F6" s="1">
        <v>3578</v>
      </c>
    </row>
    <row r="7" spans="1:11" x14ac:dyDescent="0.25">
      <c r="A7" s="14" t="s">
        <v>23</v>
      </c>
      <c r="B7" s="1">
        <v>13390</v>
      </c>
      <c r="C7" s="1">
        <v>3611</v>
      </c>
      <c r="D7" s="1">
        <v>6226</v>
      </c>
      <c r="E7" s="1">
        <v>27567</v>
      </c>
      <c r="F7" s="1">
        <v>29962</v>
      </c>
    </row>
    <row r="8" spans="1:11" x14ac:dyDescent="0.25">
      <c r="A8" s="14" t="s">
        <v>24</v>
      </c>
      <c r="B8" s="1">
        <v>17585</v>
      </c>
      <c r="C8" s="1">
        <v>28508</v>
      </c>
      <c r="D8" s="1">
        <v>9614</v>
      </c>
      <c r="E8" s="1">
        <v>17110</v>
      </c>
      <c r="F8" s="1">
        <v>12143</v>
      </c>
      <c r="H8" s="15" t="s">
        <v>53</v>
      </c>
      <c r="I8" s="4" t="s">
        <v>54</v>
      </c>
    </row>
    <row r="9" spans="1:11" x14ac:dyDescent="0.25">
      <c r="A9" s="14" t="s">
        <v>25</v>
      </c>
      <c r="B9" s="1">
        <v>22579</v>
      </c>
      <c r="C9" s="1">
        <v>16301</v>
      </c>
      <c r="D9" s="1">
        <v>6469</v>
      </c>
      <c r="E9" s="1">
        <v>22050</v>
      </c>
      <c r="F9" s="1">
        <v>8740</v>
      </c>
      <c r="H9" s="12" t="s">
        <v>26</v>
      </c>
      <c r="I9" s="6" t="s">
        <v>18</v>
      </c>
    </row>
    <row r="10" spans="1:11" x14ac:dyDescent="0.25">
      <c r="H10" s="16" t="s">
        <v>27</v>
      </c>
      <c r="I10" s="17">
        <f>VLOOKUP(I8,A1:F9,MATCH(I9,A1:F1,0),FALSE)</f>
        <v>27141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344A-9D85-44C9-907F-678B4CD5FAED}">
  <dimension ref="A1:P27"/>
  <sheetViews>
    <sheetView zoomScaleNormal="100" workbookViewId="0">
      <selection activeCell="G15" sqref="G15"/>
    </sheetView>
  </sheetViews>
  <sheetFormatPr defaultRowHeight="15" x14ac:dyDescent="0.25"/>
  <cols>
    <col min="1" max="8" width="9.5703125" customWidth="1"/>
  </cols>
  <sheetData>
    <row r="1" spans="1:10" x14ac:dyDescent="0.25">
      <c r="A1" s="26" t="s">
        <v>45</v>
      </c>
      <c r="B1" s="27" t="s">
        <v>28</v>
      </c>
      <c r="D1" s="18" t="s">
        <v>45</v>
      </c>
      <c r="E1" s="19" t="s">
        <v>4</v>
      </c>
      <c r="G1" s="18" t="s">
        <v>4</v>
      </c>
      <c r="H1" s="19" t="s">
        <v>28</v>
      </c>
    </row>
    <row r="2" spans="1:10" x14ac:dyDescent="0.25">
      <c r="A2" s="28" t="s">
        <v>37</v>
      </c>
      <c r="B2" s="29">
        <f>VLOOKUP(VLOOKUP(A2,$D$1:$E$9,2,FALSE),$G$1:$H$9,2,FALSE)</f>
        <v>12.64</v>
      </c>
      <c r="D2" s="28" t="s">
        <v>37</v>
      </c>
      <c r="E2" s="24" t="s">
        <v>30</v>
      </c>
      <c r="G2" s="20" t="s">
        <v>32</v>
      </c>
      <c r="H2" s="21">
        <v>25.87</v>
      </c>
    </row>
    <row r="3" spans="1:10" x14ac:dyDescent="0.25">
      <c r="A3" s="28" t="s">
        <v>38</v>
      </c>
      <c r="B3" s="29">
        <f t="shared" ref="B3:B9" si="0">VLOOKUP(VLOOKUP(A3,$D$1:$E$9,2,FALSE),$G$1:$H$9,2,FALSE)</f>
        <v>10.36</v>
      </c>
      <c r="D3" s="28" t="s">
        <v>38</v>
      </c>
      <c r="E3" s="24" t="s">
        <v>33</v>
      </c>
      <c r="G3" s="20" t="s">
        <v>35</v>
      </c>
      <c r="H3" s="21">
        <v>10.52</v>
      </c>
      <c r="J3" t="s">
        <v>56</v>
      </c>
    </row>
    <row r="4" spans="1:10" x14ac:dyDescent="0.25">
      <c r="A4" s="28" t="s">
        <v>39</v>
      </c>
      <c r="B4" s="29">
        <f t="shared" si="0"/>
        <v>10.52</v>
      </c>
      <c r="D4" s="28" t="s">
        <v>39</v>
      </c>
      <c r="E4" s="24" t="s">
        <v>35</v>
      </c>
      <c r="G4" s="20" t="s">
        <v>36</v>
      </c>
      <c r="H4" s="21">
        <v>18.96</v>
      </c>
    </row>
    <row r="5" spans="1:10" x14ac:dyDescent="0.25">
      <c r="A5" s="28" t="s">
        <v>40</v>
      </c>
      <c r="B5" s="29">
        <f t="shared" si="0"/>
        <v>29.39</v>
      </c>
      <c r="D5" s="28" t="s">
        <v>40</v>
      </c>
      <c r="E5" s="24" t="s">
        <v>31</v>
      </c>
      <c r="G5" s="20" t="s">
        <v>33</v>
      </c>
      <c r="H5" s="21">
        <v>10.36</v>
      </c>
    </row>
    <row r="6" spans="1:10" x14ac:dyDescent="0.25">
      <c r="A6" s="28" t="s">
        <v>41</v>
      </c>
      <c r="B6" s="29">
        <f t="shared" si="0"/>
        <v>18.96</v>
      </c>
      <c r="D6" s="28" t="s">
        <v>41</v>
      </c>
      <c r="E6" s="24" t="s">
        <v>36</v>
      </c>
      <c r="G6" s="20" t="s">
        <v>30</v>
      </c>
      <c r="H6" s="21">
        <v>12.64</v>
      </c>
    </row>
    <row r="7" spans="1:10" x14ac:dyDescent="0.25">
      <c r="A7" s="28" t="s">
        <v>42</v>
      </c>
      <c r="B7" s="29">
        <f t="shared" si="0"/>
        <v>15.99</v>
      </c>
      <c r="D7" s="28" t="s">
        <v>42</v>
      </c>
      <c r="E7" s="24" t="s">
        <v>34</v>
      </c>
      <c r="G7" s="20" t="s">
        <v>34</v>
      </c>
      <c r="H7" s="21">
        <v>15.99</v>
      </c>
    </row>
    <row r="8" spans="1:10" x14ac:dyDescent="0.25">
      <c r="A8" s="28" t="s">
        <v>43</v>
      </c>
      <c r="B8" s="29">
        <f t="shared" si="0"/>
        <v>13.5</v>
      </c>
      <c r="D8" s="28" t="s">
        <v>43</v>
      </c>
      <c r="E8" s="24" t="s">
        <v>29</v>
      </c>
      <c r="G8" s="20" t="s">
        <v>31</v>
      </c>
      <c r="H8" s="21">
        <v>29.39</v>
      </c>
    </row>
    <row r="9" spans="1:10" x14ac:dyDescent="0.25">
      <c r="A9" s="30" t="s">
        <v>44</v>
      </c>
      <c r="B9" s="29">
        <f t="shared" si="0"/>
        <v>25.87</v>
      </c>
      <c r="D9" s="30" t="s">
        <v>44</v>
      </c>
      <c r="E9" s="25" t="s">
        <v>32</v>
      </c>
      <c r="G9" s="22" t="s">
        <v>29</v>
      </c>
      <c r="H9" s="23">
        <v>13.5</v>
      </c>
    </row>
    <row r="27" spans="16:16" x14ac:dyDescent="0.25">
      <c r="P27" t="s">
        <v>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F056-5474-4215-A5BC-6A299C014F83}">
  <dimension ref="A1:M18"/>
  <sheetViews>
    <sheetView workbookViewId="0">
      <selection activeCell="I22" sqref="I22"/>
    </sheetView>
  </sheetViews>
  <sheetFormatPr defaultColWidth="9.140625" defaultRowHeight="15" x14ac:dyDescent="0.25"/>
  <cols>
    <col min="1" max="16384" width="9.140625" style="31"/>
  </cols>
  <sheetData>
    <row r="1" spans="1:13" x14ac:dyDescent="0.25">
      <c r="A1" s="38" t="s">
        <v>4</v>
      </c>
      <c r="B1" s="39" t="s">
        <v>47</v>
      </c>
      <c r="C1" s="39" t="s">
        <v>48</v>
      </c>
      <c r="D1" s="40" t="s">
        <v>49</v>
      </c>
      <c r="F1" s="47"/>
      <c r="G1" s="34" t="s">
        <v>7</v>
      </c>
      <c r="H1" s="35" t="s">
        <v>22</v>
      </c>
      <c r="M1" s="31" t="s">
        <v>58</v>
      </c>
    </row>
    <row r="2" spans="1:13" x14ac:dyDescent="0.25">
      <c r="A2" s="41" t="s">
        <v>7</v>
      </c>
      <c r="B2" s="42">
        <f ca="1">VLOOKUP($A2, INDIRECT(B$1&amp;"_Sales"), 2, FALSE)</f>
        <v>3686</v>
      </c>
      <c r="C2" s="42">
        <f t="shared" ref="C2:D3" ca="1" si="0">VLOOKUP($A2, INDIRECT(C$1&amp;"_Sales"), 2, FALSE)</f>
        <v>1820</v>
      </c>
      <c r="D2" s="43">
        <f t="shared" ca="1" si="0"/>
        <v>2055</v>
      </c>
      <c r="F2" s="49" t="s">
        <v>47</v>
      </c>
      <c r="G2" s="42">
        <f ca="1">VLOOKUP(G$1, INDIRECT($F2&amp;"_Sales"), 2, FALSE)</f>
        <v>3686</v>
      </c>
      <c r="H2" s="48">
        <f ca="1">VLOOKUP(H$1, INDIRECT($F2&amp;"_Sales"), 2, FALSE)</f>
        <v>2091</v>
      </c>
    </row>
    <row r="3" spans="1:13" x14ac:dyDescent="0.25">
      <c r="A3" s="44" t="s">
        <v>22</v>
      </c>
      <c r="B3" s="45">
        <f ca="1">VLOOKUP($A3, INDIRECT(B$1&amp;"_Sales"), 2, FALSE)</f>
        <v>2091</v>
      </c>
      <c r="C3" s="45">
        <f t="shared" ca="1" si="0"/>
        <v>3199</v>
      </c>
      <c r="D3" s="46">
        <f t="shared" ca="1" si="0"/>
        <v>1046</v>
      </c>
      <c r="F3" s="49" t="s">
        <v>48</v>
      </c>
      <c r="G3" s="42">
        <f t="shared" ref="G3:H4" ca="1" si="1">VLOOKUP(G$1, INDIRECT($F3&amp;"_Sales"), 2, FALSE)</f>
        <v>1820</v>
      </c>
      <c r="H3" s="48">
        <f t="shared" ca="1" si="1"/>
        <v>3199</v>
      </c>
    </row>
    <row r="4" spans="1:13" x14ac:dyDescent="0.25">
      <c r="F4" s="50" t="s">
        <v>49</v>
      </c>
      <c r="G4" s="36">
        <f t="shared" ca="1" si="1"/>
        <v>2055</v>
      </c>
      <c r="H4" s="37">
        <f t="shared" ca="1" si="1"/>
        <v>1046</v>
      </c>
    </row>
    <row r="8" spans="1:13" x14ac:dyDescent="0.25">
      <c r="A8" s="38" t="s">
        <v>4</v>
      </c>
      <c r="B8" s="39" t="s">
        <v>47</v>
      </c>
      <c r="C8" s="39" t="s">
        <v>48</v>
      </c>
      <c r="D8" s="40" t="s">
        <v>49</v>
      </c>
      <c r="F8" s="47"/>
      <c r="G8" s="34" t="s">
        <v>7</v>
      </c>
      <c r="H8" s="35" t="s">
        <v>22</v>
      </c>
      <c r="K8" s="31" t="s">
        <v>57</v>
      </c>
      <c r="L8" s="31" t="str">
        <f ca="1">INDIRECT(K8)</f>
        <v>hello</v>
      </c>
    </row>
    <row r="9" spans="1:13" x14ac:dyDescent="0.25">
      <c r="A9" s="41" t="s">
        <v>7</v>
      </c>
      <c r="B9" s="42"/>
      <c r="C9" s="42"/>
      <c r="D9" s="42"/>
      <c r="F9" s="49" t="s">
        <v>47</v>
      </c>
      <c r="G9" s="42"/>
      <c r="H9" s="42"/>
    </row>
    <row r="10" spans="1:13" x14ac:dyDescent="0.25">
      <c r="A10" s="44" t="s">
        <v>22</v>
      </c>
      <c r="B10" s="42"/>
      <c r="C10" s="42"/>
      <c r="D10" s="42"/>
      <c r="F10" s="49" t="s">
        <v>48</v>
      </c>
      <c r="G10" s="42"/>
      <c r="H10" s="42"/>
    </row>
    <row r="11" spans="1:13" x14ac:dyDescent="0.25">
      <c r="F11" s="50" t="s">
        <v>49</v>
      </c>
      <c r="G11" s="42"/>
      <c r="H11" s="42"/>
    </row>
    <row r="12" spans="1:13" x14ac:dyDescent="0.25">
      <c r="I12" s="31" t="s">
        <v>60</v>
      </c>
    </row>
    <row r="18" spans="2:2" x14ac:dyDescent="0.25">
      <c r="B18" s="31" t="s">
        <v>51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B24-AA44-4F86-A7A7-AD8CE0290A84}">
  <dimension ref="A1:J24"/>
  <sheetViews>
    <sheetView tabSelected="1" workbookViewId="0">
      <selection activeCell="E20" sqref="E20"/>
    </sheetView>
  </sheetViews>
  <sheetFormatPr defaultColWidth="9.140625" defaultRowHeight="15" x14ac:dyDescent="0.25"/>
  <cols>
    <col min="1" max="16384" width="9.140625" style="31"/>
  </cols>
  <sheetData>
    <row r="1" spans="1:7" x14ac:dyDescent="0.25">
      <c r="A1" s="51" t="s">
        <v>4</v>
      </c>
      <c r="B1" s="52" t="s">
        <v>47</v>
      </c>
      <c r="C1" s="52" t="s">
        <v>48</v>
      </c>
      <c r="D1" s="53" t="s">
        <v>49</v>
      </c>
    </row>
    <row r="2" spans="1:7" x14ac:dyDescent="0.25">
      <c r="A2" s="54" t="s">
        <v>7</v>
      </c>
      <c r="B2" s="42">
        <f t="shared" ref="B2:D3" si="0">VLOOKUP($A2, IF(B$1="CA", CA_Sales, IF(B$1="FL", FL_Sales, IF(B$1="KS", KS_Sales,""))), 2, FALSE)</f>
        <v>3686</v>
      </c>
      <c r="C2" s="42">
        <f t="shared" si="0"/>
        <v>1820</v>
      </c>
      <c r="D2" s="55">
        <f t="shared" si="0"/>
        <v>2055</v>
      </c>
    </row>
    <row r="3" spans="1:7" x14ac:dyDescent="0.25">
      <c r="A3" s="56" t="s">
        <v>22</v>
      </c>
      <c r="B3" s="57">
        <f t="shared" si="0"/>
        <v>2091</v>
      </c>
      <c r="C3" s="57">
        <f t="shared" si="0"/>
        <v>3199</v>
      </c>
      <c r="D3" s="58">
        <f t="shared" si="0"/>
        <v>1046</v>
      </c>
      <c r="G3" s="31" t="s">
        <v>59</v>
      </c>
    </row>
    <row r="10" spans="1:7" x14ac:dyDescent="0.25">
      <c r="B10" s="51" t="s">
        <v>4</v>
      </c>
      <c r="C10" s="52" t="s">
        <v>47</v>
      </c>
      <c r="D10" s="52" t="s">
        <v>48</v>
      </c>
      <c r="E10" s="53" t="s">
        <v>49</v>
      </c>
    </row>
    <row r="11" spans="1:7" x14ac:dyDescent="0.25">
      <c r="B11" s="54" t="s">
        <v>7</v>
      </c>
      <c r="C11" s="42"/>
      <c r="D11" s="42"/>
      <c r="E11" s="42"/>
    </row>
    <row r="12" spans="1:7" x14ac:dyDescent="0.25">
      <c r="B12" s="56" t="s">
        <v>22</v>
      </c>
      <c r="C12" s="42"/>
      <c r="D12" s="42"/>
      <c r="E12" s="42"/>
    </row>
    <row r="24" spans="10:10" x14ac:dyDescent="0.25">
      <c r="J24" s="31" t="s">
        <v>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A7E2-D9B5-4603-BAA2-9C51E0D6E9CC}">
  <dimension ref="A1:B5"/>
  <sheetViews>
    <sheetView workbookViewId="0">
      <selection activeCell="A4" sqref="A4"/>
    </sheetView>
  </sheetViews>
  <sheetFormatPr defaultRowHeight="15" x14ac:dyDescent="0.25"/>
  <sheetData>
    <row r="1" spans="1:2" x14ac:dyDescent="0.25">
      <c r="A1" s="18" t="s">
        <v>4</v>
      </c>
      <c r="B1" s="19" t="s">
        <v>27</v>
      </c>
    </row>
    <row r="2" spans="1:2" x14ac:dyDescent="0.25">
      <c r="A2" s="20" t="s">
        <v>5</v>
      </c>
      <c r="B2" s="32">
        <v>1378</v>
      </c>
    </row>
    <row r="3" spans="1:2" x14ac:dyDescent="0.25">
      <c r="A3" s="20" t="s">
        <v>46</v>
      </c>
      <c r="B3" s="32">
        <v>4723</v>
      </c>
    </row>
    <row r="4" spans="1:2" x14ac:dyDescent="0.25">
      <c r="A4" s="20" t="s">
        <v>7</v>
      </c>
      <c r="B4" s="32">
        <v>3686</v>
      </c>
    </row>
    <row r="5" spans="1:2" x14ac:dyDescent="0.25">
      <c r="A5" s="22" t="s">
        <v>22</v>
      </c>
      <c r="B5" s="33">
        <v>2091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0B8B-DC70-443D-A7AB-41448171808A}">
  <dimension ref="A1:B5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8" t="s">
        <v>4</v>
      </c>
      <c r="B1" s="19" t="s">
        <v>27</v>
      </c>
    </row>
    <row r="2" spans="1:2" x14ac:dyDescent="0.25">
      <c r="A2" s="20" t="s">
        <v>5</v>
      </c>
      <c r="B2" s="32">
        <v>3325</v>
      </c>
    </row>
    <row r="3" spans="1:2" x14ac:dyDescent="0.25">
      <c r="A3" s="20" t="s">
        <v>7</v>
      </c>
      <c r="B3" s="32">
        <v>1820</v>
      </c>
    </row>
    <row r="4" spans="1:2" x14ac:dyDescent="0.25">
      <c r="A4" s="20" t="s">
        <v>22</v>
      </c>
      <c r="B4" s="32">
        <v>3199</v>
      </c>
    </row>
    <row r="5" spans="1:2" x14ac:dyDescent="0.25">
      <c r="A5" s="22" t="s">
        <v>24</v>
      </c>
      <c r="B5" s="33">
        <v>3836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C832-E05F-487A-A97F-DDB0E4461BF1}">
  <dimension ref="A1:B5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8" t="s">
        <v>4</v>
      </c>
      <c r="B1" s="19" t="s">
        <v>27</v>
      </c>
    </row>
    <row r="2" spans="1:2" x14ac:dyDescent="0.25">
      <c r="A2" s="20" t="s">
        <v>5</v>
      </c>
      <c r="B2" s="32">
        <v>4022</v>
      </c>
    </row>
    <row r="3" spans="1:2" x14ac:dyDescent="0.25">
      <c r="A3" s="20" t="s">
        <v>46</v>
      </c>
      <c r="B3" s="32">
        <v>1414</v>
      </c>
    </row>
    <row r="4" spans="1:2" x14ac:dyDescent="0.25">
      <c r="A4" s="20" t="s">
        <v>7</v>
      </c>
      <c r="B4" s="32">
        <v>2055</v>
      </c>
    </row>
    <row r="5" spans="1:2" x14ac:dyDescent="0.25">
      <c r="A5" s="22" t="s">
        <v>22</v>
      </c>
      <c r="B5" s="33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Vlookup 2 values</vt:lpstr>
      <vt:lpstr>Vlookup Nth instance</vt:lpstr>
      <vt:lpstr>2-way Vlookup</vt:lpstr>
      <vt:lpstr>Nested Vlookup</vt:lpstr>
      <vt:lpstr>VLOOKUP INDIRECT</vt:lpstr>
      <vt:lpstr>VLOOKUP IF</vt:lpstr>
      <vt:lpstr>CA_Sales</vt:lpstr>
      <vt:lpstr>FL_Sales</vt:lpstr>
      <vt:lpstr>KS_Sales</vt:lpstr>
      <vt:lpstr>CA_Sales</vt:lpstr>
      <vt:lpstr>FL_Sales</vt:lpstr>
      <vt:lpstr>KS_Sales</vt:lpstr>
      <vt:lpstr>Prices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Viji Boin</cp:lastModifiedBy>
  <dcterms:created xsi:type="dcterms:W3CDTF">2014-07-29T11:10:53Z</dcterms:created>
  <dcterms:modified xsi:type="dcterms:W3CDTF">2024-12-19T01:57:18Z</dcterms:modified>
</cp:coreProperties>
</file>