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EETI\"/>
    </mc:Choice>
  </mc:AlternateContent>
  <bookViews>
    <workbookView xWindow="0" yWindow="0" windowWidth="19170" windowHeight="414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1" i="1" l="1"/>
  <c r="F18" i="1"/>
  <c r="E18" i="1"/>
  <c r="D18" i="1"/>
  <c r="C18" i="1"/>
  <c r="B18" i="1"/>
  <c r="B17" i="1"/>
  <c r="C17" i="1" s="1"/>
  <c r="D17" i="1" s="1"/>
  <c r="E17" i="1" s="1"/>
  <c r="F17" i="1" s="1"/>
  <c r="B16" i="1"/>
  <c r="F16" i="1"/>
  <c r="E16" i="1"/>
  <c r="D16" i="1"/>
  <c r="C16" i="1"/>
  <c r="O8" i="1" l="1"/>
  <c r="O9" i="1"/>
  <c r="O10" i="1"/>
  <c r="O11" i="1"/>
  <c r="O12" i="1"/>
  <c r="O13" i="1"/>
  <c r="O7" i="1"/>
  <c r="N8" i="1"/>
  <c r="N9" i="1"/>
  <c r="N10" i="1"/>
  <c r="N11" i="1"/>
  <c r="N12" i="1"/>
  <c r="N13" i="1"/>
  <c r="N7" i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7" i="1"/>
  <c r="M7" i="1" s="1"/>
  <c r="J8" i="1"/>
  <c r="J9" i="1"/>
  <c r="J10" i="1"/>
  <c r="J11" i="1"/>
  <c r="J12" i="1"/>
  <c r="J13" i="1"/>
  <c r="J7" i="1"/>
  <c r="I8" i="1"/>
  <c r="I9" i="1"/>
  <c r="I10" i="1"/>
  <c r="I11" i="1"/>
  <c r="I12" i="1"/>
  <c r="I13" i="1"/>
  <c r="I7" i="1"/>
  <c r="H8" i="1"/>
  <c r="H9" i="1"/>
  <c r="H10" i="1"/>
  <c r="H11" i="1"/>
  <c r="H12" i="1"/>
  <c r="H13" i="1"/>
  <c r="H7" i="1"/>
  <c r="G8" i="1"/>
  <c r="G9" i="1"/>
  <c r="G10" i="1"/>
  <c r="G11" i="1"/>
  <c r="K11" i="1" s="1"/>
  <c r="G12" i="1"/>
  <c r="G13" i="1"/>
  <c r="G7" i="1"/>
  <c r="T13" i="1" l="1"/>
  <c r="P13" i="1"/>
  <c r="T9" i="1"/>
  <c r="P9" i="1"/>
  <c r="S7" i="1"/>
  <c r="R7" i="1"/>
  <c r="S12" i="1"/>
  <c r="R12" i="1"/>
  <c r="S10" i="1"/>
  <c r="R10" i="1"/>
  <c r="K13" i="1"/>
  <c r="K9" i="1"/>
  <c r="T7" i="1"/>
  <c r="P7" i="1"/>
  <c r="P12" i="1"/>
  <c r="T12" i="1"/>
  <c r="P10" i="1"/>
  <c r="T10" i="1"/>
  <c r="P8" i="1"/>
  <c r="T8" i="1"/>
  <c r="S13" i="1"/>
  <c r="R13" i="1"/>
  <c r="S11" i="1"/>
  <c r="R11" i="1"/>
  <c r="S9" i="1"/>
  <c r="R9" i="1"/>
  <c r="K7" i="1"/>
  <c r="K12" i="1"/>
  <c r="K10" i="1"/>
  <c r="K8" i="1"/>
  <c r="T11" i="1"/>
  <c r="P11" i="1"/>
  <c r="S8" i="1"/>
  <c r="R8" i="1"/>
  <c r="G15" i="1"/>
</calcChain>
</file>

<file path=xl/sharedStrings.xml><?xml version="1.0" encoding="utf-8"?>
<sst xmlns="http://schemas.openxmlformats.org/spreadsheetml/2006/main" count="45" uniqueCount="41">
  <si>
    <t>MARKSHEET 2017</t>
  </si>
  <si>
    <t>NAME</t>
  </si>
  <si>
    <t>MATHS</t>
  </si>
  <si>
    <t>OC</t>
  </si>
  <si>
    <t>SP</t>
  </si>
  <si>
    <t>MARATHI</t>
  </si>
  <si>
    <t>TOTAL</t>
  </si>
  <si>
    <t>KOMAL</t>
  </si>
  <si>
    <t>NEHA</t>
  </si>
  <si>
    <t>ANIKET</t>
  </si>
  <si>
    <t>KEDAR</t>
  </si>
  <si>
    <t>OMKAR</t>
  </si>
  <si>
    <t>NIMISHA</t>
  </si>
  <si>
    <t>RITIKA</t>
  </si>
  <si>
    <t>MAX</t>
  </si>
  <si>
    <t>MIN</t>
  </si>
  <si>
    <t>AVG</t>
  </si>
  <si>
    <t>PERCENTAGE</t>
  </si>
  <si>
    <t>UPPER</t>
  </si>
  <si>
    <t>LOWER</t>
  </si>
  <si>
    <t>PROPER</t>
  </si>
  <si>
    <t>LEN</t>
  </si>
  <si>
    <t>remark</t>
  </si>
  <si>
    <t>GRADE</t>
  </si>
  <si>
    <t>REMARKS</t>
  </si>
  <si>
    <t>IF ERROR VLOOUP</t>
  </si>
  <si>
    <t>ID NO</t>
  </si>
  <si>
    <t>ID</t>
  </si>
  <si>
    <t>VALUE</t>
  </si>
  <si>
    <t>APPLE</t>
  </si>
  <si>
    <t>BANANA</t>
  </si>
  <si>
    <t>KIWI</t>
  </si>
  <si>
    <t>CHICKU</t>
  </si>
  <si>
    <t>PEAR</t>
  </si>
  <si>
    <t>PEACH</t>
  </si>
  <si>
    <t>MANGO</t>
  </si>
  <si>
    <t>ORANGE</t>
  </si>
  <si>
    <t>CHERRY</t>
  </si>
  <si>
    <t>LEMON</t>
  </si>
  <si>
    <t>PAPAYA</t>
  </si>
  <si>
    <t>ELICHI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</si>
</sst>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38100</xdr:rowOff>
    </xdr:from>
    <xdr:to>
      <xdr:col>11</xdr:col>
      <xdr:colOff>180975</xdr:colOff>
      <xdr:row>26</xdr:row>
      <xdr:rowOff>133350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11532" r="-11532"/>
        <a:stretch/>
      </xdr:blipFill>
      <xdr:spPr>
        <a:xfrm>
          <a:off x="0" y="619125"/>
          <a:ext cx="6886575" cy="44767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e2" displayName="Table2" ref="C21:D25" totalsRowShown="0">
  <tableColumns count="2">
    <tableColumn id="1" name="ID" dataDxfId="4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F21:G25" totalsRowShown="0" headerRowDxfId="3">
  <tableColumns count="2">
    <tableColumn id="1" name="ID" dataDxfId="2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I21:J25" totalsRowShown="0" headerRowDxfId="1">
  <tableColumns count="2">
    <tableColumn id="1" name="ID" dataDxfId="0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"/>
  <sheetViews>
    <sheetView tabSelected="1" workbookViewId="0">
      <selection activeCell="L21" sqref="L21"/>
    </sheetView>
  </sheetViews>
  <sheetFormatPr defaultRowHeight="15" x14ac:dyDescent="0.25"/>
  <cols>
    <col min="3" max="4" width="11" customWidth="1"/>
    <col min="6" max="7" width="11" customWidth="1"/>
    <col min="9" max="10" width="11" customWidth="1"/>
    <col min="11" max="11" width="12.42578125" bestFit="1" customWidth="1"/>
    <col min="13" max="13" width="11" customWidth="1"/>
    <col min="16" max="16" width="10.28515625" bestFit="1" customWidth="1"/>
    <col min="17" max="17" width="10.28515625" customWidth="1"/>
    <col min="19" max="19" width="11.28515625" bestFit="1" customWidth="1"/>
    <col min="20" max="20" width="11.28515625" customWidth="1"/>
  </cols>
  <sheetData>
    <row r="1" spans="1:20" ht="46.5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2"/>
    </row>
    <row r="2" spans="1:20" ht="46.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2"/>
    </row>
    <row r="3" spans="1:20" ht="46.5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2"/>
    </row>
    <row r="4" spans="1:20" ht="46.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2"/>
    </row>
    <row r="5" spans="1:20" ht="46.5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2"/>
    </row>
    <row r="6" spans="1:20" x14ac:dyDescent="0.25">
      <c r="A6" s="1" t="s">
        <v>26</v>
      </c>
      <c r="B6" s="1" t="s">
        <v>1</v>
      </c>
      <c r="C6" s="1" t="s">
        <v>5</v>
      </c>
      <c r="D6" s="1" t="s">
        <v>3</v>
      </c>
      <c r="E6" s="1" t="s">
        <v>4</v>
      </c>
      <c r="F6" s="1" t="s">
        <v>2</v>
      </c>
      <c r="G6" s="1" t="s">
        <v>6</v>
      </c>
      <c r="H6" s="1" t="s">
        <v>14</v>
      </c>
      <c r="I6" s="1" t="s">
        <v>15</v>
      </c>
      <c r="J6" s="1" t="s">
        <v>16</v>
      </c>
      <c r="K6" s="1" t="s">
        <v>17</v>
      </c>
      <c r="L6" s="1" t="s">
        <v>18</v>
      </c>
      <c r="M6" s="1" t="s">
        <v>19</v>
      </c>
      <c r="N6" s="1" t="s">
        <v>20</v>
      </c>
      <c r="O6" s="1" t="s">
        <v>21</v>
      </c>
      <c r="P6" s="1" t="s">
        <v>22</v>
      </c>
      <c r="Q6" s="1"/>
      <c r="S6" s="1" t="s">
        <v>23</v>
      </c>
      <c r="T6" s="1" t="s">
        <v>24</v>
      </c>
    </row>
    <row r="7" spans="1:20" x14ac:dyDescent="0.25">
      <c r="A7">
        <v>101</v>
      </c>
      <c r="B7" t="s">
        <v>7</v>
      </c>
      <c r="C7">
        <v>87</v>
      </c>
      <c r="D7">
        <v>90</v>
      </c>
      <c r="E7">
        <v>52</v>
      </c>
      <c r="F7">
        <v>98</v>
      </c>
      <c r="G7">
        <f>SUM(C7:F7)</f>
        <v>327</v>
      </c>
      <c r="H7">
        <f>MAX(C7:F7)</f>
        <v>98</v>
      </c>
      <c r="I7">
        <f>MIN(C7:F7)</f>
        <v>52</v>
      </c>
      <c r="J7">
        <f>AVERAGE(C7:F7)</f>
        <v>81.75</v>
      </c>
      <c r="K7">
        <f>G7/400*100</f>
        <v>81.75</v>
      </c>
      <c r="L7" t="str">
        <f>UPPER(B7)</f>
        <v>KOMAL</v>
      </c>
      <c r="M7" t="str">
        <f>LOWER(L7)</f>
        <v>komal</v>
      </c>
      <c r="N7" t="str">
        <f>PROPER(B7)</f>
        <v>Komal</v>
      </c>
      <c r="O7">
        <f>LEN(B7)</f>
        <v>5</v>
      </c>
      <c r="P7" t="str">
        <f>IF(G7&lt;=300,"Good","Very Good")</f>
        <v>Very Good</v>
      </c>
      <c r="R7" t="str">
        <f>IF(J7&gt;80,"A",IF(J7&gt;70,"B",IF(J7&gt;60,"C")))</f>
        <v>A</v>
      </c>
      <c r="S7" t="str">
        <f>IF(J7&gt;80,"A",IF(J7&gt;70,"B",IF(J7&gt;60,"C")))</f>
        <v>A</v>
      </c>
      <c r="T7" t="str">
        <f>IF( G7&lt;=300,"GOOD","VERY GOOD ")</f>
        <v xml:space="preserve">VERY GOOD </v>
      </c>
    </row>
    <row r="8" spans="1:20" x14ac:dyDescent="0.25">
      <c r="A8">
        <v>102</v>
      </c>
      <c r="B8" t="s">
        <v>8</v>
      </c>
      <c r="C8">
        <v>85</v>
      </c>
      <c r="D8">
        <v>84</v>
      </c>
      <c r="E8">
        <v>65</v>
      </c>
      <c r="F8">
        <v>68</v>
      </c>
      <c r="G8">
        <f t="shared" ref="G8:G13" si="0">SUM(C8:F8)</f>
        <v>302</v>
      </c>
      <c r="H8">
        <f t="shared" ref="H8:H13" si="1">MAX(C8:F8)</f>
        <v>85</v>
      </c>
      <c r="I8">
        <f t="shared" ref="I8:I13" si="2">MIN(C8:F8)</f>
        <v>65</v>
      </c>
      <c r="J8">
        <f t="shared" ref="J8:J13" si="3">AVERAGE(C8:F8)</f>
        <v>75.5</v>
      </c>
      <c r="K8">
        <f t="shared" ref="K8:K13" si="4">G8/400*100</f>
        <v>75.5</v>
      </c>
      <c r="L8" t="str">
        <f t="shared" ref="L8:L13" si="5">UPPER(B8)</f>
        <v>NEHA</v>
      </c>
      <c r="M8" t="str">
        <f t="shared" ref="M8:M13" si="6">LOWER(L8)</f>
        <v>neha</v>
      </c>
      <c r="N8" t="str">
        <f t="shared" ref="N8:N13" si="7">PROPER(B8)</f>
        <v>Neha</v>
      </c>
      <c r="O8">
        <f t="shared" ref="O8:O13" si="8">LEN(B8)</f>
        <v>4</v>
      </c>
      <c r="P8" t="str">
        <f t="shared" ref="P8:P13" si="9">IF(G8&lt;=300,"Good","Very Good")</f>
        <v>Very Good</v>
      </c>
      <c r="R8" t="str">
        <f t="shared" ref="R8:R13" si="10">IF(J8&gt;80,"A",IF(J8&gt;70,"B",IF(J8&gt;60,"C")))</f>
        <v>B</v>
      </c>
      <c r="S8" t="str">
        <f t="shared" ref="S8:S13" si="11">IF(J8&gt;80,"A",IF(J8&gt;70,"B",IF(J8&gt;60,"C")))</f>
        <v>B</v>
      </c>
      <c r="T8" t="str">
        <f t="shared" ref="T8:T12" si="12">IF( G8&lt;=300,"GOOD","VERY GOOD ")</f>
        <v xml:space="preserve">VERY GOOD </v>
      </c>
    </row>
    <row r="9" spans="1:20" x14ac:dyDescent="0.25">
      <c r="A9">
        <v>103</v>
      </c>
      <c r="B9" t="s">
        <v>10</v>
      </c>
      <c r="C9">
        <v>81</v>
      </c>
      <c r="D9">
        <v>65</v>
      </c>
      <c r="E9">
        <v>42</v>
      </c>
      <c r="F9">
        <v>86</v>
      </c>
      <c r="G9">
        <f t="shared" si="0"/>
        <v>274</v>
      </c>
      <c r="H9">
        <f t="shared" si="1"/>
        <v>86</v>
      </c>
      <c r="I9">
        <f t="shared" si="2"/>
        <v>42</v>
      </c>
      <c r="J9">
        <f t="shared" si="3"/>
        <v>68.5</v>
      </c>
      <c r="K9">
        <f t="shared" si="4"/>
        <v>68.5</v>
      </c>
      <c r="L9" t="str">
        <f t="shared" si="5"/>
        <v>KEDAR</v>
      </c>
      <c r="M9" t="str">
        <f t="shared" si="6"/>
        <v>kedar</v>
      </c>
      <c r="N9" t="str">
        <f t="shared" si="7"/>
        <v>Kedar</v>
      </c>
      <c r="O9">
        <f t="shared" si="8"/>
        <v>5</v>
      </c>
      <c r="P9" t="str">
        <f t="shared" si="9"/>
        <v>Good</v>
      </c>
      <c r="R9" t="str">
        <f t="shared" si="10"/>
        <v>C</v>
      </c>
      <c r="S9" t="str">
        <f t="shared" si="11"/>
        <v>C</v>
      </c>
      <c r="T9" t="str">
        <f t="shared" si="12"/>
        <v>GOOD</v>
      </c>
    </row>
    <row r="10" spans="1:20" x14ac:dyDescent="0.25">
      <c r="A10">
        <v>104</v>
      </c>
      <c r="B10" t="s">
        <v>9</v>
      </c>
      <c r="C10">
        <v>70</v>
      </c>
      <c r="D10">
        <v>62</v>
      </c>
      <c r="E10">
        <v>84</v>
      </c>
      <c r="F10">
        <v>72</v>
      </c>
      <c r="G10">
        <f t="shared" si="0"/>
        <v>288</v>
      </c>
      <c r="H10">
        <f t="shared" si="1"/>
        <v>84</v>
      </c>
      <c r="I10">
        <f t="shared" si="2"/>
        <v>62</v>
      </c>
      <c r="J10">
        <f t="shared" si="3"/>
        <v>72</v>
      </c>
      <c r="K10">
        <f t="shared" si="4"/>
        <v>72</v>
      </c>
      <c r="L10" t="str">
        <f t="shared" si="5"/>
        <v>ANIKET</v>
      </c>
      <c r="M10" t="str">
        <f t="shared" si="6"/>
        <v>aniket</v>
      </c>
      <c r="N10" t="str">
        <f t="shared" si="7"/>
        <v>Aniket</v>
      </c>
      <c r="O10">
        <f t="shared" si="8"/>
        <v>6</v>
      </c>
      <c r="P10" t="str">
        <f t="shared" si="9"/>
        <v>Good</v>
      </c>
      <c r="R10" t="str">
        <f t="shared" si="10"/>
        <v>B</v>
      </c>
      <c r="S10" t="str">
        <f t="shared" si="11"/>
        <v>B</v>
      </c>
      <c r="T10" t="str">
        <f t="shared" si="12"/>
        <v>GOOD</v>
      </c>
    </row>
    <row r="11" spans="1:20" x14ac:dyDescent="0.25">
      <c r="A11">
        <v>105</v>
      </c>
      <c r="B11" t="s">
        <v>11</v>
      </c>
      <c r="C11">
        <v>79</v>
      </c>
      <c r="D11">
        <v>78</v>
      </c>
      <c r="E11">
        <v>71</v>
      </c>
      <c r="F11">
        <v>83</v>
      </c>
      <c r="G11">
        <f t="shared" si="0"/>
        <v>311</v>
      </c>
      <c r="H11">
        <f t="shared" si="1"/>
        <v>83</v>
      </c>
      <c r="I11">
        <f t="shared" si="2"/>
        <v>71</v>
      </c>
      <c r="J11">
        <f t="shared" si="3"/>
        <v>77.75</v>
      </c>
      <c r="K11">
        <f t="shared" si="4"/>
        <v>77.75</v>
      </c>
      <c r="L11" t="str">
        <f t="shared" si="5"/>
        <v>OMKAR</v>
      </c>
      <c r="M11" t="str">
        <f t="shared" si="6"/>
        <v>omkar</v>
      </c>
      <c r="N11" t="str">
        <f t="shared" si="7"/>
        <v>Omkar</v>
      </c>
      <c r="O11">
        <f t="shared" si="8"/>
        <v>5</v>
      </c>
      <c r="P11" t="str">
        <f t="shared" si="9"/>
        <v>Very Good</v>
      </c>
      <c r="R11" t="str">
        <f t="shared" si="10"/>
        <v>B</v>
      </c>
      <c r="S11" t="str">
        <f t="shared" si="11"/>
        <v>B</v>
      </c>
      <c r="T11" t="str">
        <f t="shared" si="12"/>
        <v xml:space="preserve">VERY GOOD </v>
      </c>
    </row>
    <row r="12" spans="1:20" x14ac:dyDescent="0.25">
      <c r="A12">
        <v>106</v>
      </c>
      <c r="B12" t="s">
        <v>12</v>
      </c>
      <c r="C12">
        <v>67</v>
      </c>
      <c r="D12">
        <v>69</v>
      </c>
      <c r="E12">
        <v>63</v>
      </c>
      <c r="F12">
        <v>52</v>
      </c>
      <c r="G12">
        <f t="shared" si="0"/>
        <v>251</v>
      </c>
      <c r="H12">
        <f t="shared" si="1"/>
        <v>69</v>
      </c>
      <c r="I12">
        <f t="shared" si="2"/>
        <v>52</v>
      </c>
      <c r="J12">
        <f t="shared" si="3"/>
        <v>62.75</v>
      </c>
      <c r="K12">
        <f t="shared" si="4"/>
        <v>62.749999999999993</v>
      </c>
      <c r="L12" t="str">
        <f t="shared" si="5"/>
        <v>NIMISHA</v>
      </c>
      <c r="M12" t="str">
        <f t="shared" si="6"/>
        <v>nimisha</v>
      </c>
      <c r="N12" t="str">
        <f t="shared" si="7"/>
        <v>Nimisha</v>
      </c>
      <c r="O12">
        <f t="shared" si="8"/>
        <v>7</v>
      </c>
      <c r="P12" t="str">
        <f t="shared" si="9"/>
        <v>Good</v>
      </c>
      <c r="R12" t="str">
        <f t="shared" si="10"/>
        <v>C</v>
      </c>
      <c r="S12" t="str">
        <f t="shared" si="11"/>
        <v>C</v>
      </c>
      <c r="T12" t="str">
        <f t="shared" si="12"/>
        <v>GOOD</v>
      </c>
    </row>
    <row r="13" spans="1:20" x14ac:dyDescent="0.25">
      <c r="A13">
        <v>107</v>
      </c>
      <c r="B13" t="s">
        <v>13</v>
      </c>
      <c r="C13">
        <v>65</v>
      </c>
      <c r="D13">
        <v>81</v>
      </c>
      <c r="E13">
        <v>55</v>
      </c>
      <c r="F13">
        <v>49</v>
      </c>
      <c r="G13">
        <f t="shared" si="0"/>
        <v>250</v>
      </c>
      <c r="H13">
        <f t="shared" si="1"/>
        <v>81</v>
      </c>
      <c r="I13">
        <f t="shared" si="2"/>
        <v>49</v>
      </c>
      <c r="J13">
        <f t="shared" si="3"/>
        <v>62.5</v>
      </c>
      <c r="K13">
        <f t="shared" si="4"/>
        <v>62.5</v>
      </c>
      <c r="L13" t="str">
        <f t="shared" si="5"/>
        <v>RITIKA</v>
      </c>
      <c r="M13" t="str">
        <f t="shared" si="6"/>
        <v>ritika</v>
      </c>
      <c r="N13" t="str">
        <f t="shared" si="7"/>
        <v>Ritika</v>
      </c>
      <c r="O13">
        <f t="shared" si="8"/>
        <v>6</v>
      </c>
      <c r="P13" t="str">
        <f t="shared" si="9"/>
        <v>Good</v>
      </c>
      <c r="R13" t="str">
        <f t="shared" si="10"/>
        <v>C</v>
      </c>
      <c r="S13" t="str">
        <f t="shared" si="11"/>
        <v>C</v>
      </c>
      <c r="T13" t="str">
        <f>IF( G13&lt;=300,"GOOD","VERY GOOD ")</f>
        <v>GOOD</v>
      </c>
    </row>
    <row r="15" spans="1:20" x14ac:dyDescent="0.25">
      <c r="G15">
        <f>COUNT(G7:G13)</f>
        <v>7</v>
      </c>
    </row>
    <row r="16" spans="1:20" x14ac:dyDescent="0.25">
      <c r="A16">
        <v>104</v>
      </c>
      <c r="B16" t="str">
        <f>VLOOKUP($A$16,$A$6:$F$13,2,FALSE)</f>
        <v>ANIKET</v>
      </c>
      <c r="C16">
        <f>VLOOKUP($A$16,$A$6:$F$13,3,TRUE)</f>
        <v>70</v>
      </c>
      <c r="D16">
        <f>VLOOKUP($A$16,$A$6:$F$13,4,TRUE)</f>
        <v>62</v>
      </c>
      <c r="E16">
        <f>VLOOKUP($A$16,$A$6:$F$13,5,TRUE)</f>
        <v>84</v>
      </c>
      <c r="F16">
        <f>VLOOKUP($A$16,$A$6:$F$13,6,TRUE)</f>
        <v>72</v>
      </c>
    </row>
    <row r="17" spans="1:12" x14ac:dyDescent="0.25">
      <c r="A17">
        <v>105</v>
      </c>
      <c r="B17" t="str">
        <f>VLOOKUP(A17,A6:F13,2,FALSE)</f>
        <v>OMKAR</v>
      </c>
      <c r="C17">
        <f t="shared" ref="C17:F17" si="13">VLOOKUP(B17,B6:G13,2,FALSE)</f>
        <v>79</v>
      </c>
      <c r="D17">
        <f t="shared" si="13"/>
        <v>78</v>
      </c>
      <c r="E17">
        <f t="shared" si="13"/>
        <v>71</v>
      </c>
      <c r="F17">
        <f t="shared" si="13"/>
        <v>83</v>
      </c>
    </row>
    <row r="18" spans="1:12" x14ac:dyDescent="0.25">
      <c r="A18">
        <v>101</v>
      </c>
      <c r="B18" t="str">
        <f>VLOOKUP($A$18,$A$6:$F$13,2,TRUE)</f>
        <v>KOMAL</v>
      </c>
      <c r="C18">
        <f>VLOOKUP($A$18,$A$6:$F$13,3,TRUE)</f>
        <v>87</v>
      </c>
      <c r="D18">
        <f>VLOOKUP($A$18,$A$6:$F$13,4,TRUE)</f>
        <v>90</v>
      </c>
      <c r="E18">
        <f>VLOOKUP($A$18,$A$6:$F$13,5,TRUE)</f>
        <v>52</v>
      </c>
      <c r="F18">
        <f>VLOOKUP($A$18,$A$6:$F$13,6,TRUE)</f>
        <v>98</v>
      </c>
    </row>
    <row r="21" spans="1:12" x14ac:dyDescent="0.25">
      <c r="C21" s="1" t="s">
        <v>27</v>
      </c>
      <c r="D21" s="1" t="s">
        <v>28</v>
      </c>
      <c r="F21" s="4" t="s">
        <v>27</v>
      </c>
      <c r="G21" s="4" t="s">
        <v>28</v>
      </c>
      <c r="I21" s="4" t="s">
        <v>27</v>
      </c>
      <c r="J21" s="4" t="s">
        <v>28</v>
      </c>
      <c r="L21" t="str">
        <f>IFERROR(VLOOKUP(L22,C22:D25,2,0),IFERROR(VLOOKUP(L22,F22:G25,2,0),VLOOKUP(L22,I22:J25,2,0)))</f>
        <v>PEAR</v>
      </c>
    </row>
    <row r="22" spans="1:12" x14ac:dyDescent="0.25">
      <c r="B22" s="3"/>
      <c r="C22" s="1">
        <v>1</v>
      </c>
      <c r="D22" t="s">
        <v>29</v>
      </c>
      <c r="F22" s="1">
        <v>5</v>
      </c>
      <c r="G22" t="s">
        <v>33</v>
      </c>
      <c r="I22" s="1">
        <v>9</v>
      </c>
      <c r="J22" t="s">
        <v>37</v>
      </c>
      <c r="L22">
        <v>5</v>
      </c>
    </row>
    <row r="23" spans="1:12" x14ac:dyDescent="0.25">
      <c r="C23" s="3">
        <v>2</v>
      </c>
      <c r="D23" t="s">
        <v>30</v>
      </c>
      <c r="F23" s="1">
        <v>6</v>
      </c>
      <c r="G23" t="s">
        <v>34</v>
      </c>
      <c r="I23" s="1">
        <v>10</v>
      </c>
      <c r="J23" t="s">
        <v>38</v>
      </c>
    </row>
    <row r="24" spans="1:12" x14ac:dyDescent="0.25">
      <c r="C24" s="1">
        <v>3</v>
      </c>
      <c r="D24" t="s">
        <v>31</v>
      </c>
      <c r="F24" s="1">
        <v>7</v>
      </c>
      <c r="G24" t="s">
        <v>35</v>
      </c>
      <c r="I24" s="1">
        <v>11</v>
      </c>
      <c r="J24" t="s">
        <v>39</v>
      </c>
    </row>
    <row r="25" spans="1:12" x14ac:dyDescent="0.25">
      <c r="C25" s="1">
        <v>4</v>
      </c>
      <c r="D25" t="s">
        <v>32</v>
      </c>
      <c r="F25" s="1">
        <v>8</v>
      </c>
      <c r="G25" t="s">
        <v>36</v>
      </c>
      <c r="I25" s="1">
        <v>12</v>
      </c>
      <c r="J25" t="s">
        <v>40</v>
      </c>
    </row>
    <row r="30" spans="1:12" x14ac:dyDescent="0.25">
      <c r="E30" s="1"/>
      <c r="G30" s="4"/>
      <c r="H30" s="4"/>
    </row>
    <row r="31" spans="1:12" x14ac:dyDescent="0.25">
      <c r="C31" s="3"/>
      <c r="D31" s="1"/>
      <c r="G31" s="1"/>
    </row>
    <row r="32" spans="1:12" x14ac:dyDescent="0.25">
      <c r="D32" s="1"/>
      <c r="G32" s="1"/>
    </row>
    <row r="33" spans="4:7" x14ac:dyDescent="0.25">
      <c r="D33" s="1"/>
      <c r="G33" s="1"/>
    </row>
    <row r="34" spans="4:7" x14ac:dyDescent="0.25">
      <c r="D34" s="1"/>
      <c r="G34" s="1"/>
    </row>
  </sheetData>
  <mergeCells count="1">
    <mergeCell ref="A1:P5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"/>
  <sheetViews>
    <sheetView topLeftCell="A10" zoomScale="178" zoomScaleNormal="178" workbookViewId="0">
      <selection activeCell="A2" sqref="A2:B2"/>
    </sheetView>
  </sheetViews>
  <sheetFormatPr defaultRowHeight="15" x14ac:dyDescent="0.25"/>
  <sheetData>
    <row r="2" spans="1:2" ht="15.75" x14ac:dyDescent="0.25">
      <c r="A2" s="6" t="s">
        <v>25</v>
      </c>
      <c r="B2" s="6"/>
    </row>
  </sheetData>
  <mergeCells count="1">
    <mergeCell ref="A2:B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keerti10</dc:creator>
  <cp:lastModifiedBy>keerti10</cp:lastModifiedBy>
  <dcterms:created xsi:type="dcterms:W3CDTF">2017-07-03T14:15:06Z</dcterms:created>
  <dcterms:modified xsi:type="dcterms:W3CDTF">2017-07-10T12:11:27Z</dcterms:modified>
</cp:coreProperties>
</file>