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828\OneDrive\Desktop\Advance Excel course\ADVANCE EXCEL ASSIGNMENT 1\ADVANCE EXCEL ASSIGNMENT\"/>
    </mc:Choice>
  </mc:AlternateContent>
  <xr:revisionPtr revIDLastSave="0" documentId="13_ncr:1_{60D3DDB6-1B96-48C7-8F14-93D598A959FE}" xr6:coauthVersionLast="47" xr6:coauthVersionMax="47" xr10:uidLastSave="{00000000-0000-0000-0000-000000000000}"/>
  <bookViews>
    <workbookView xWindow="-110" yWindow="-110" windowWidth="19420" windowHeight="10300" tabRatio="963" xr2:uid="{00000000-000D-0000-FFFF-FFFF00000000}"/>
  </bookViews>
  <sheets>
    <sheet name="Assignment 1" sheetId="13" r:id="rId1"/>
    <sheet name="Assignment 2" sheetId="20" r:id="rId2"/>
    <sheet name="Assignment 3" sheetId="21" r:id="rId3"/>
    <sheet name="Employees" sheetId="24" state="hidden" r:id="rId4"/>
    <sheet name="AnswerOptions" sheetId="4" state="hidden" r:id="rId5"/>
  </sheets>
  <definedNames>
    <definedName name="IF_function">'Assignment 1'!$F$15:$F$20</definedName>
    <definedName name="Item">'Assignment 1'!$C$15:$C$20</definedName>
    <definedName name="OrderNo.">'Assignment 1'!$B$15:$B$20</definedName>
    <definedName name="OrderPrice">'Assignment 1'!$D$15:$D$20</definedName>
    <definedName name="SalesRep">'Assignment 1'!$E$15:$E$20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1" l="1"/>
  <c r="C32" i="21"/>
  <c r="C31" i="21"/>
  <c r="C30" i="21"/>
  <c r="C29" i="21"/>
  <c r="C28" i="21"/>
  <c r="F24" i="21"/>
  <c r="F23" i="21"/>
  <c r="F22" i="21"/>
  <c r="F21" i="21"/>
  <c r="F20" i="21"/>
  <c r="F19" i="21"/>
  <c r="E24" i="21"/>
  <c r="E23" i="21"/>
  <c r="E22" i="21"/>
  <c r="E21" i="21"/>
  <c r="E20" i="21"/>
  <c r="E19" i="21"/>
  <c r="D24" i="21"/>
  <c r="D23" i="21"/>
  <c r="D22" i="21"/>
  <c r="D21" i="21"/>
  <c r="D20" i="21"/>
  <c r="D19" i="21"/>
  <c r="C24" i="21" l="1"/>
  <c r="C23" i="21"/>
  <c r="C22" i="21"/>
  <c r="C21" i="21"/>
  <c r="C20" i="21"/>
  <c r="C19" i="21"/>
  <c r="H25" i="20"/>
  <c r="H24" i="20"/>
  <c r="H15" i="20"/>
  <c r="D29" i="13"/>
  <c r="D28" i="13"/>
  <c r="D27" i="13"/>
  <c r="D26" i="13"/>
  <c r="D25" i="13"/>
  <c r="D24" i="13"/>
  <c r="F20" i="13"/>
  <c r="F19" i="13"/>
  <c r="F18" i="13"/>
  <c r="F17" i="13"/>
  <c r="F16" i="13"/>
  <c r="F15" i="13"/>
</calcChain>
</file>

<file path=xl/sharedStrings.xml><?xml version="1.0" encoding="utf-8"?>
<sst xmlns="http://schemas.openxmlformats.org/spreadsheetml/2006/main" count="176" uniqueCount="114">
  <si>
    <t>Dataset1</t>
  </si>
  <si>
    <t>Full name</t>
  </si>
  <si>
    <t>Abigail Aalderink</t>
  </si>
  <si>
    <t>Sanford Bartolo</t>
  </si>
  <si>
    <t>Samuel Bartnick</t>
  </si>
  <si>
    <t>John Dumas</t>
  </si>
  <si>
    <t>Kristi Hines</t>
  </si>
  <si>
    <t>Apple Lyn</t>
  </si>
  <si>
    <t>Lee Nazal</t>
  </si>
  <si>
    <t>Lindsy Kline</t>
  </si>
  <si>
    <t>Bradley Sack</t>
  </si>
  <si>
    <t>Steven Lamar</t>
  </si>
  <si>
    <t>Tom Briones</t>
  </si>
  <si>
    <t>Mike O'Neil</t>
  </si>
  <si>
    <t>Elly Kam</t>
  </si>
  <si>
    <t>Steven Davidson</t>
  </si>
  <si>
    <t>Nate Harris</t>
  </si>
  <si>
    <t>Bryan Sloane</t>
  </si>
  <si>
    <t>Chris Borgogni</t>
  </si>
  <si>
    <t>David Goods</t>
  </si>
  <si>
    <t>Chatsworth Miller-Stevenson</t>
  </si>
  <si>
    <t>Stephanie Miller-Stevenson</t>
  </si>
  <si>
    <t>Scott Joyce</t>
  </si>
  <si>
    <t>Mary Oms</t>
  </si>
  <si>
    <t>Jaremy Davis</t>
  </si>
  <si>
    <t>Darrel Hobbs</t>
  </si>
  <si>
    <t>David Jones</t>
  </si>
  <si>
    <t>Mitch Gramlow</t>
  </si>
  <si>
    <t>Valerie Stevens</t>
  </si>
  <si>
    <t>Andrew Gupta</t>
  </si>
  <si>
    <t>Sam Zaborszky</t>
  </si>
  <si>
    <t>Joe Keenan</t>
  </si>
  <si>
    <t>Susan Ricas</t>
  </si>
  <si>
    <t>Peter Bowland</t>
  </si>
  <si>
    <t>Jonny Chan</t>
  </si>
  <si>
    <t>Richard David</t>
  </si>
  <si>
    <t>Matt Baker</t>
  </si>
  <si>
    <t>Annie Hunter</t>
  </si>
  <si>
    <t>Jake Prock</t>
  </si>
  <si>
    <t>Daniel Turek</t>
  </si>
  <si>
    <t>James Sperman</t>
  </si>
  <si>
    <t>Mark Cox</t>
  </si>
  <si>
    <t>Steven Perry</t>
  </si>
  <si>
    <t>Scott Jastrow</t>
  </si>
  <si>
    <t>Lorna Walker</t>
  </si>
  <si>
    <t>Mai Taylor</t>
  </si>
  <si>
    <t>Bobbi Simon</t>
  </si>
  <si>
    <t>Robert Nole</t>
  </si>
  <si>
    <t>Irene Pawell</t>
  </si>
  <si>
    <t>Sarah Smith</t>
  </si>
  <si>
    <t>Jake Fann</t>
  </si>
  <si>
    <t>Daniella Ruder</t>
  </si>
  <si>
    <t>Caylie Price</t>
  </si>
  <si>
    <t>Emily Bodenham</t>
  </si>
  <si>
    <t>OrderNo.</t>
  </si>
  <si>
    <t>SalesRep</t>
  </si>
  <si>
    <t>Michael Harris</t>
  </si>
  <si>
    <t>AX - LL 100</t>
  </si>
  <si>
    <t>AXB - UE 200</t>
  </si>
  <si>
    <t>OrderPrice</t>
  </si>
  <si>
    <t>Item</t>
  </si>
  <si>
    <t>IF function</t>
  </si>
  <si>
    <t xml:space="preserve">AAXB - EGBB </t>
  </si>
  <si>
    <t>when the order price is more than 25,000.</t>
  </si>
  <si>
    <t>Dataset2</t>
  </si>
  <si>
    <t>Jennifer Kline</t>
  </si>
  <si>
    <t>Dispatched</t>
  </si>
  <si>
    <t>May</t>
  </si>
  <si>
    <t>Jun</t>
  </si>
  <si>
    <t>First name</t>
  </si>
  <si>
    <t>Stephanie Miller</t>
  </si>
  <si>
    <r>
      <t xml:space="preserve">In </t>
    </r>
    <r>
      <rPr>
        <b/>
        <sz val="11"/>
        <color theme="1"/>
        <rFont val="Georgia"/>
        <family val="1"/>
      </rPr>
      <t>dataset1</t>
    </r>
    <r>
      <rPr>
        <sz val="11"/>
        <color theme="1"/>
        <rFont val="Georgia"/>
        <family val="1"/>
      </rPr>
      <t>, calculate the sum of sales made by Michael Harris</t>
    </r>
  </si>
  <si>
    <t>Employed since</t>
  </si>
  <si>
    <t>Vicky James Samson</t>
  </si>
  <si>
    <t>Employee</t>
  </si>
  <si>
    <r>
      <t xml:space="preserve">In </t>
    </r>
    <r>
      <rPr>
        <b/>
        <sz val="11"/>
        <color theme="1"/>
        <rFont val="Georgia"/>
        <family val="1"/>
      </rPr>
      <t>dataset1</t>
    </r>
    <r>
      <rPr>
        <sz val="11"/>
        <color theme="1"/>
        <rFont val="Georgia"/>
        <family val="1"/>
      </rPr>
      <t>, calculate the sum of the sales of item AAXB - EGBB.</t>
    </r>
  </si>
  <si>
    <r>
      <t xml:space="preserve">In </t>
    </r>
    <r>
      <rPr>
        <b/>
        <sz val="11"/>
        <color theme="1"/>
        <rFont val="Georgia"/>
        <family val="1"/>
      </rPr>
      <t>dataset2</t>
    </r>
    <r>
      <rPr>
        <sz val="11"/>
        <color theme="1"/>
        <rFont val="Georgia"/>
        <family val="1"/>
      </rPr>
      <t>, calculate the sum of the sales dispatched in May.</t>
    </r>
  </si>
  <si>
    <t>The IF function</t>
  </si>
  <si>
    <t>The SUMIF function</t>
  </si>
  <si>
    <t>Cleaning Data</t>
  </si>
  <si>
    <t>Bonus?</t>
  </si>
  <si>
    <t>Employed (years)</t>
  </si>
  <si>
    <t>Name</t>
  </si>
  <si>
    <t>Stephanie</t>
  </si>
  <si>
    <t>Scott</t>
  </si>
  <si>
    <t>Mary</t>
  </si>
  <si>
    <t>Jaremy</t>
  </si>
  <si>
    <t>Darrel</t>
  </si>
  <si>
    <t>David</t>
  </si>
  <si>
    <t>are eligible for a special seniority bonus.</t>
  </si>
  <si>
    <t>Criteria: more than 10 years of employment.</t>
  </si>
  <si>
    <t>1.1)</t>
  </si>
  <si>
    <t>1.2)</t>
  </si>
  <si>
    <t>2.1)</t>
  </si>
  <si>
    <t>2.2)</t>
  </si>
  <si>
    <t>2.3)</t>
  </si>
  <si>
    <r>
      <t xml:space="preserve">In </t>
    </r>
    <r>
      <rPr>
        <b/>
        <sz val="11"/>
        <color theme="1"/>
        <rFont val="Georgia"/>
        <family val="1"/>
      </rPr>
      <t>dataset2</t>
    </r>
    <r>
      <rPr>
        <sz val="11"/>
        <color theme="1"/>
        <rFont val="Georgia"/>
        <family val="1"/>
      </rPr>
      <t>, create a formula that returns "Yes" if the employee</t>
    </r>
  </si>
  <si>
    <r>
      <t xml:space="preserve">Create a formula in </t>
    </r>
    <r>
      <rPr>
        <b/>
        <sz val="11"/>
        <color theme="1"/>
        <rFont val="Georgia"/>
        <family val="1"/>
      </rPr>
      <t>dataset1</t>
    </r>
    <r>
      <rPr>
        <sz val="11"/>
        <color theme="1"/>
        <rFont val="Georgia"/>
        <family val="1"/>
      </rPr>
      <t xml:space="preserve"> that displays the text "High"</t>
    </r>
  </si>
  <si>
    <r>
      <t xml:space="preserve">In </t>
    </r>
    <r>
      <rPr>
        <b/>
        <sz val="11"/>
        <color theme="1"/>
        <rFont val="Georgia"/>
        <family val="1"/>
      </rPr>
      <t>dataset1</t>
    </r>
    <r>
      <rPr>
        <sz val="11"/>
        <color theme="1"/>
        <rFont val="Georgia"/>
        <family val="1"/>
      </rPr>
      <t>, use the LEFT function to extract the first 6 characters of the</t>
    </r>
  </si>
  <si>
    <t>names in column B.</t>
  </si>
  <si>
    <t>LEFT</t>
  </si>
  <si>
    <t>first name and the last name.</t>
  </si>
  <si>
    <t>the full names in column B.</t>
  </si>
  <si>
    <t>Find and Replace tool.</t>
  </si>
  <si>
    <r>
      <t xml:space="preserve">Remove all the last names from the full names in </t>
    </r>
    <r>
      <rPr>
        <b/>
        <sz val="11"/>
        <color theme="1"/>
        <rFont val="Georgia"/>
        <family val="1"/>
      </rPr>
      <t>dataset2</t>
    </r>
    <r>
      <rPr>
        <sz val="11"/>
        <color theme="1"/>
        <rFont val="Georgia"/>
        <family val="1"/>
      </rPr>
      <t xml:space="preserve"> using the </t>
    </r>
  </si>
  <si>
    <t>3.1)</t>
  </si>
  <si>
    <t>3.2)</t>
  </si>
  <si>
    <t>3.3)</t>
  </si>
  <si>
    <t>AAXB - EGBB</t>
  </si>
  <si>
    <t>3.4)</t>
  </si>
  <si>
    <t>Find</t>
  </si>
  <si>
    <t xml:space="preserve">Use the Find function to find the location of the space between the </t>
  </si>
  <si>
    <t>Last name</t>
  </si>
  <si>
    <t>Combine the two functions in one formula that extracts the first names &amp; Last name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</si>
</sst>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sz val="22"/>
      <color theme="0"/>
      <name val="Georgi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B26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1" fillId="0" borderId="0" xfId="0" applyNumberFormat="1" applyFont="1"/>
    <xf numFmtId="0" fontId="0" fillId="0" borderId="0" xfId="0" applyAlignment="1">
      <alignment horizontal="left" indent="1"/>
    </xf>
    <xf numFmtId="0" fontId="0" fillId="0" borderId="1" xfId="0" applyBorder="1"/>
    <xf numFmtId="9" fontId="0" fillId="0" borderId="1" xfId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3" fontId="1" fillId="0" borderId="0" xfId="0" applyNumberFormat="1" applyFont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FE9C0"/>
      <color rgb="FF28B265"/>
      <color rgb="FFF658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H75"/>
  <sheetViews>
    <sheetView showGridLines="0" tabSelected="1" topLeftCell="A20" zoomScale="145" zoomScaleNormal="145" workbookViewId="0">
      <selection activeCell="A3" sqref="A3"/>
    </sheetView>
  </sheetViews>
  <sheetFormatPr defaultColWidth="8.7265625" defaultRowHeight="14.5" x14ac:dyDescent="0.35"/>
  <cols>
    <col min="1" max="1" width="8.7265625" style="3"/>
    <col min="2" max="2" width="8.7265625" style="1"/>
    <col min="3" max="3" width="15.26953125" style="1" customWidth="1"/>
    <col min="4" max="4" width="14.54296875" style="1" bestFit="1" customWidth="1"/>
    <col min="5" max="5" width="13.7265625" style="1" customWidth="1"/>
    <col min="6" max="6" width="12.7265625" style="1" customWidth="1"/>
    <col min="7" max="7" width="14.54296875" style="1" customWidth="1"/>
    <col min="8" max="8" width="12.7265625" style="1" bestFit="1" customWidth="1"/>
    <col min="9" max="16384" width="8.7265625" style="1"/>
  </cols>
  <sheetData>
    <row r="1" spans="1:8" x14ac:dyDescent="0.35">
      <c r="A1" s="16" t="s">
        <v>77</v>
      </c>
      <c r="B1" s="16"/>
      <c r="C1" s="16"/>
      <c r="D1" s="16"/>
      <c r="E1" s="16"/>
      <c r="F1" s="16"/>
      <c r="G1" s="16"/>
      <c r="H1" s="16"/>
    </row>
    <row r="2" spans="1:8" x14ac:dyDescent="0.35">
      <c r="A2" s="16"/>
      <c r="B2" s="16"/>
      <c r="C2" s="16"/>
      <c r="D2" s="16"/>
      <c r="E2" s="16"/>
      <c r="F2" s="16"/>
      <c r="G2" s="16"/>
      <c r="H2" s="16"/>
    </row>
    <row r="5" spans="1:8" x14ac:dyDescent="0.35">
      <c r="A5" s="3" t="s">
        <v>91</v>
      </c>
      <c r="B5" s="1" t="s">
        <v>97</v>
      </c>
      <c r="H5"/>
    </row>
    <row r="6" spans="1:8" x14ac:dyDescent="0.35">
      <c r="B6" s="11" t="s">
        <v>63</v>
      </c>
      <c r="G6"/>
      <c r="H6"/>
    </row>
    <row r="7" spans="1:8" x14ac:dyDescent="0.35">
      <c r="G7" s="6"/>
      <c r="H7"/>
    </row>
    <row r="8" spans="1:8" x14ac:dyDescent="0.35">
      <c r="A8" s="3" t="s">
        <v>92</v>
      </c>
      <c r="B8" s="1" t="s">
        <v>96</v>
      </c>
      <c r="G8" s="6"/>
      <c r="H8"/>
    </row>
    <row r="9" spans="1:8" x14ac:dyDescent="0.35">
      <c r="B9" s="1" t="s">
        <v>89</v>
      </c>
      <c r="G9" s="6"/>
      <c r="H9"/>
    </row>
    <row r="10" spans="1:8" x14ac:dyDescent="0.35">
      <c r="B10" s="1" t="s">
        <v>90</v>
      </c>
      <c r="G10" s="6"/>
      <c r="H10"/>
    </row>
    <row r="11" spans="1:8" x14ac:dyDescent="0.35">
      <c r="G11"/>
      <c r="H11"/>
    </row>
    <row r="12" spans="1:8" x14ac:dyDescent="0.35">
      <c r="G12"/>
      <c r="H12"/>
    </row>
    <row r="13" spans="1:8" x14ac:dyDescent="0.35">
      <c r="B13" s="2" t="s">
        <v>0</v>
      </c>
      <c r="C13" s="2"/>
      <c r="G13"/>
      <c r="H13"/>
    </row>
    <row r="14" spans="1:8" x14ac:dyDescent="0.35">
      <c r="B14" s="9" t="s">
        <v>54</v>
      </c>
      <c r="C14" s="10" t="s">
        <v>60</v>
      </c>
      <c r="D14" s="10" t="s">
        <v>59</v>
      </c>
      <c r="E14" s="10" t="s">
        <v>55</v>
      </c>
      <c r="F14" s="10" t="s">
        <v>61</v>
      </c>
      <c r="G14"/>
    </row>
    <row r="15" spans="1:8" x14ac:dyDescent="0.35">
      <c r="B15" s="7">
        <v>8522</v>
      </c>
      <c r="C15" s="7" t="s">
        <v>57</v>
      </c>
      <c r="D15" s="14">
        <v>33995</v>
      </c>
      <c r="E15" s="8" t="s">
        <v>56</v>
      </c>
      <c r="F15" s="7" t="str">
        <f>IF(D15&gt;25000,"High","")</f>
        <v>High</v>
      </c>
      <c r="G15"/>
    </row>
    <row r="16" spans="1:8" x14ac:dyDescent="0.35">
      <c r="B16" s="7">
        <v>8522</v>
      </c>
      <c r="C16" s="7" t="s">
        <v>57</v>
      </c>
      <c r="D16" s="14">
        <v>13598</v>
      </c>
      <c r="E16" s="7" t="s">
        <v>65</v>
      </c>
      <c r="F16" s="7" t="str">
        <f t="shared" ref="F16:F20" si="0">IF(D16&gt;25000,"High","")</f>
        <v/>
      </c>
      <c r="G16"/>
    </row>
    <row r="17" spans="2:8" x14ac:dyDescent="0.35">
      <c r="B17" s="7">
        <v>8523</v>
      </c>
      <c r="C17" s="7" t="s">
        <v>58</v>
      </c>
      <c r="D17" s="14">
        <v>17498</v>
      </c>
      <c r="E17" s="8" t="s">
        <v>56</v>
      </c>
      <c r="F17" s="7" t="str">
        <f t="shared" si="0"/>
        <v/>
      </c>
      <c r="G17"/>
    </row>
    <row r="18" spans="2:8" x14ac:dyDescent="0.35">
      <c r="B18" s="7">
        <v>8524</v>
      </c>
      <c r="C18" s="7" t="s">
        <v>108</v>
      </c>
      <c r="D18" s="14">
        <v>41396</v>
      </c>
      <c r="E18" s="7" t="s">
        <v>65</v>
      </c>
      <c r="F18" s="7" t="str">
        <f t="shared" si="0"/>
        <v>High</v>
      </c>
      <c r="G18"/>
    </row>
    <row r="19" spans="2:8" x14ac:dyDescent="0.35">
      <c r="B19" s="7">
        <v>8525</v>
      </c>
      <c r="C19" s="7" t="s">
        <v>108</v>
      </c>
      <c r="D19" s="14">
        <v>11899</v>
      </c>
      <c r="E19" s="8" t="s">
        <v>56</v>
      </c>
      <c r="F19" s="7" t="str">
        <f t="shared" si="0"/>
        <v/>
      </c>
      <c r="G19"/>
    </row>
    <row r="20" spans="2:8" x14ac:dyDescent="0.35">
      <c r="B20" s="7">
        <v>8526</v>
      </c>
      <c r="C20" s="7" t="s">
        <v>58</v>
      </c>
      <c r="D20" s="14">
        <v>17498</v>
      </c>
      <c r="E20" s="7" t="s">
        <v>65</v>
      </c>
      <c r="F20" s="7" t="str">
        <f t="shared" si="0"/>
        <v/>
      </c>
      <c r="G20"/>
    </row>
    <row r="21" spans="2:8" x14ac:dyDescent="0.35">
      <c r="E21" s="5"/>
    </row>
    <row r="22" spans="2:8" x14ac:dyDescent="0.35">
      <c r="B22" s="2" t="s">
        <v>64</v>
      </c>
      <c r="C22" s="2"/>
    </row>
    <row r="23" spans="2:8" x14ac:dyDescent="0.35">
      <c r="B23" s="9" t="s">
        <v>82</v>
      </c>
      <c r="C23" s="10" t="s">
        <v>81</v>
      </c>
      <c r="D23" s="10" t="s">
        <v>80</v>
      </c>
    </row>
    <row r="24" spans="2:8" x14ac:dyDescent="0.35">
      <c r="B24" s="7" t="s">
        <v>83</v>
      </c>
      <c r="C24" s="13">
        <v>12</v>
      </c>
      <c r="D24" s="7" t="str">
        <f>IF(C24&gt;=10,"Yes","No")</f>
        <v>Yes</v>
      </c>
    </row>
    <row r="25" spans="2:8" x14ac:dyDescent="0.35">
      <c r="B25" s="7" t="s">
        <v>84</v>
      </c>
      <c r="C25" s="13">
        <v>7</v>
      </c>
      <c r="D25" s="7" t="str">
        <f t="shared" ref="D25:D29" si="1">IF(C25&gt;=10,"Yes","No")</f>
        <v>No</v>
      </c>
    </row>
    <row r="26" spans="2:8" x14ac:dyDescent="0.35">
      <c r="B26" s="7" t="s">
        <v>85</v>
      </c>
      <c r="C26" s="13">
        <v>10</v>
      </c>
      <c r="D26" s="7" t="str">
        <f t="shared" si="1"/>
        <v>Yes</v>
      </c>
    </row>
    <row r="27" spans="2:8" x14ac:dyDescent="0.35">
      <c r="B27" s="7" t="s">
        <v>86</v>
      </c>
      <c r="C27" s="13">
        <v>11</v>
      </c>
      <c r="D27" s="7" t="str">
        <f t="shared" si="1"/>
        <v>Yes</v>
      </c>
    </row>
    <row r="28" spans="2:8" x14ac:dyDescent="0.35">
      <c r="B28" s="7" t="s">
        <v>87</v>
      </c>
      <c r="C28" s="13">
        <v>3</v>
      </c>
      <c r="D28" s="7" t="str">
        <f t="shared" si="1"/>
        <v>No</v>
      </c>
    </row>
    <row r="29" spans="2:8" x14ac:dyDescent="0.35">
      <c r="B29" s="7" t="s">
        <v>88</v>
      </c>
      <c r="C29" s="13">
        <v>18</v>
      </c>
      <c r="D29" s="7" t="str">
        <f t="shared" si="1"/>
        <v>Yes</v>
      </c>
      <c r="F29"/>
      <c r="G29"/>
    </row>
    <row r="30" spans="2:8" x14ac:dyDescent="0.35">
      <c r="G30"/>
      <c r="H30"/>
    </row>
    <row r="31" spans="2:8" x14ac:dyDescent="0.35">
      <c r="G31"/>
      <c r="H31"/>
    </row>
    <row r="32" spans="2:8" x14ac:dyDescent="0.35">
      <c r="G32"/>
    </row>
    <row r="33" spans="7:7" x14ac:dyDescent="0.35">
      <c r="G33"/>
    </row>
    <row r="34" spans="7:7" x14ac:dyDescent="0.35">
      <c r="G34"/>
    </row>
    <row r="35" spans="7:7" x14ac:dyDescent="0.35">
      <c r="G35"/>
    </row>
    <row r="36" spans="7:7" x14ac:dyDescent="0.35">
      <c r="G36"/>
    </row>
    <row r="37" spans="7:7" x14ac:dyDescent="0.35">
      <c r="G37"/>
    </row>
    <row r="38" spans="7:7" x14ac:dyDescent="0.35">
      <c r="G38"/>
    </row>
    <row r="39" spans="7:7" x14ac:dyDescent="0.35">
      <c r="G39"/>
    </row>
    <row r="40" spans="7:7" x14ac:dyDescent="0.35">
      <c r="G40"/>
    </row>
    <row r="41" spans="7:7" x14ac:dyDescent="0.35">
      <c r="G41"/>
    </row>
    <row r="42" spans="7:7" x14ac:dyDescent="0.35">
      <c r="G42"/>
    </row>
    <row r="43" spans="7:7" x14ac:dyDescent="0.35">
      <c r="G43"/>
    </row>
    <row r="44" spans="7:7" x14ac:dyDescent="0.35">
      <c r="G44"/>
    </row>
    <row r="45" spans="7:7" x14ac:dyDescent="0.35">
      <c r="G45"/>
    </row>
    <row r="46" spans="7:7" x14ac:dyDescent="0.35">
      <c r="G46"/>
    </row>
    <row r="47" spans="7:7" x14ac:dyDescent="0.35">
      <c r="G47"/>
    </row>
    <row r="48" spans="7:7" x14ac:dyDescent="0.35">
      <c r="G48"/>
    </row>
    <row r="49" spans="7:7" x14ac:dyDescent="0.35">
      <c r="G49"/>
    </row>
    <row r="50" spans="7:7" x14ac:dyDescent="0.35">
      <c r="G50"/>
    </row>
    <row r="51" spans="7:7" x14ac:dyDescent="0.35">
      <c r="G51"/>
    </row>
    <row r="52" spans="7:7" x14ac:dyDescent="0.35">
      <c r="G52"/>
    </row>
    <row r="53" spans="7:7" x14ac:dyDescent="0.35">
      <c r="G53"/>
    </row>
    <row r="54" spans="7:7" x14ac:dyDescent="0.35">
      <c r="G54"/>
    </row>
    <row r="55" spans="7:7" x14ac:dyDescent="0.35">
      <c r="G55"/>
    </row>
    <row r="56" spans="7:7" x14ac:dyDescent="0.35">
      <c r="G56"/>
    </row>
    <row r="57" spans="7:7" x14ac:dyDescent="0.35">
      <c r="G57"/>
    </row>
    <row r="58" spans="7:7" x14ac:dyDescent="0.35">
      <c r="G58"/>
    </row>
    <row r="59" spans="7:7" x14ac:dyDescent="0.35">
      <c r="G59"/>
    </row>
    <row r="60" spans="7:7" x14ac:dyDescent="0.35">
      <c r="G60"/>
    </row>
    <row r="61" spans="7:7" x14ac:dyDescent="0.35">
      <c r="G61"/>
    </row>
    <row r="62" spans="7:7" x14ac:dyDescent="0.35">
      <c r="G62"/>
    </row>
    <row r="63" spans="7:7" x14ac:dyDescent="0.35">
      <c r="G63"/>
    </row>
    <row r="64" spans="7:7" x14ac:dyDescent="0.35">
      <c r="G64"/>
    </row>
    <row r="65" spans="7:7" x14ac:dyDescent="0.35">
      <c r="G65"/>
    </row>
    <row r="66" spans="7:7" x14ac:dyDescent="0.35">
      <c r="G66"/>
    </row>
    <row r="67" spans="7:7" x14ac:dyDescent="0.35">
      <c r="G67"/>
    </row>
    <row r="68" spans="7:7" x14ac:dyDescent="0.35">
      <c r="G68"/>
    </row>
    <row r="69" spans="7:7" x14ac:dyDescent="0.35">
      <c r="G69"/>
    </row>
    <row r="70" spans="7:7" x14ac:dyDescent="0.35">
      <c r="G70"/>
    </row>
    <row r="71" spans="7:7" x14ac:dyDescent="0.35">
      <c r="G71"/>
    </row>
    <row r="72" spans="7:7" x14ac:dyDescent="0.35">
      <c r="G72"/>
    </row>
    <row r="73" spans="7:7" x14ac:dyDescent="0.35">
      <c r="G73"/>
    </row>
    <row r="74" spans="7:7" x14ac:dyDescent="0.35">
      <c r="G74"/>
    </row>
    <row r="75" spans="7:7" x14ac:dyDescent="0.35">
      <c r="G75"/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O84"/>
  <sheetViews>
    <sheetView showGridLines="0" topLeftCell="A5" zoomScale="90" zoomScaleNormal="90" workbookViewId="0">
      <selection activeCell="H15" sqref="H15"/>
    </sheetView>
  </sheetViews>
  <sheetFormatPr defaultColWidth="8.7265625" defaultRowHeight="14.5" x14ac:dyDescent="0.35"/>
  <cols>
    <col min="1" max="1" width="8.7265625" style="3"/>
    <col min="2" max="2" width="8.7265625" style="1"/>
    <col min="3" max="3" width="15.26953125" style="1" customWidth="1"/>
    <col min="4" max="4" width="14.54296875" style="1" bestFit="1" customWidth="1"/>
    <col min="5" max="5" width="13.7265625" style="1" customWidth="1"/>
    <col min="6" max="6" width="12.7265625" style="1" customWidth="1"/>
    <col min="7" max="8" width="14.54296875" style="1" customWidth="1"/>
    <col min="9" max="9" width="12.7265625" style="1" bestFit="1" customWidth="1"/>
    <col min="10" max="10" width="8.7265625" style="1"/>
    <col min="11" max="11" width="15.26953125" style="1" customWidth="1"/>
    <col min="12" max="12" width="14.54296875" style="1" bestFit="1" customWidth="1"/>
    <col min="13" max="13" width="13.7265625" style="1" customWidth="1"/>
    <col min="14" max="14" width="12.7265625" style="1" customWidth="1"/>
    <col min="15" max="15" width="14.54296875" style="1" customWidth="1"/>
    <col min="16" max="16384" width="8.7265625" style="1"/>
  </cols>
  <sheetData>
    <row r="1" spans="1:15" x14ac:dyDescent="0.35">
      <c r="A1" s="16" t="s">
        <v>78</v>
      </c>
      <c r="B1" s="16"/>
      <c r="C1" s="16"/>
      <c r="D1" s="16"/>
      <c r="E1" s="16"/>
      <c r="F1" s="16"/>
      <c r="G1" s="16"/>
      <c r="H1" s="16"/>
      <c r="I1" s="16"/>
    </row>
    <row r="2" spans="1:15" x14ac:dyDescent="0.35">
      <c r="A2" s="16"/>
      <c r="B2" s="16"/>
      <c r="C2" s="16"/>
      <c r="D2" s="16"/>
      <c r="E2" s="16"/>
      <c r="F2" s="16"/>
      <c r="G2" s="16"/>
      <c r="H2" s="16"/>
      <c r="I2" s="16"/>
    </row>
    <row r="4" spans="1:15" x14ac:dyDescent="0.35">
      <c r="G4"/>
      <c r="H4"/>
      <c r="I4"/>
    </row>
    <row r="5" spans="1:15" x14ac:dyDescent="0.35">
      <c r="A5" s="3" t="s">
        <v>93</v>
      </c>
      <c r="B5" s="1" t="s">
        <v>71</v>
      </c>
      <c r="G5"/>
      <c r="H5"/>
      <c r="I5"/>
    </row>
    <row r="6" spans="1:15" x14ac:dyDescent="0.35">
      <c r="B6" s="11"/>
      <c r="G6"/>
      <c r="H6"/>
      <c r="I6"/>
    </row>
    <row r="7" spans="1:15" x14ac:dyDescent="0.35">
      <c r="G7"/>
      <c r="H7"/>
      <c r="I7"/>
    </row>
    <row r="8" spans="1:15" x14ac:dyDescent="0.35">
      <c r="A8" s="3" t="s">
        <v>94</v>
      </c>
      <c r="B8" s="1" t="s">
        <v>75</v>
      </c>
      <c r="G8"/>
      <c r="H8"/>
      <c r="I8"/>
    </row>
    <row r="9" spans="1:15" x14ac:dyDescent="0.35">
      <c r="G9"/>
      <c r="H9"/>
      <c r="I9"/>
    </row>
    <row r="10" spans="1:15" x14ac:dyDescent="0.35">
      <c r="G10"/>
      <c r="H10"/>
      <c r="I10"/>
    </row>
    <row r="11" spans="1:15" x14ac:dyDescent="0.35">
      <c r="A11" s="3" t="s">
        <v>95</v>
      </c>
      <c r="B11" s="1" t="s">
        <v>76</v>
      </c>
      <c r="G11"/>
      <c r="H11"/>
      <c r="I11"/>
    </row>
    <row r="12" spans="1:15" x14ac:dyDescent="0.35">
      <c r="G12"/>
      <c r="H12"/>
      <c r="I12"/>
    </row>
    <row r="13" spans="1:15" x14ac:dyDescent="0.35">
      <c r="B13" s="2" t="s">
        <v>0</v>
      </c>
      <c r="C13" s="2"/>
      <c r="G13"/>
      <c r="H13"/>
      <c r="I13"/>
      <c r="J13"/>
      <c r="K13"/>
      <c r="L13"/>
      <c r="M13"/>
      <c r="N13"/>
      <c r="O13"/>
    </row>
    <row r="14" spans="1:15" x14ac:dyDescent="0.35">
      <c r="B14" s="9" t="s">
        <v>54</v>
      </c>
      <c r="C14" s="10" t="s">
        <v>60</v>
      </c>
      <c r="D14" s="10" t="s">
        <v>59</v>
      </c>
      <c r="E14" s="10" t="s">
        <v>55</v>
      </c>
      <c r="F14"/>
      <c r="G14"/>
      <c r="H14"/>
      <c r="I14"/>
      <c r="J14"/>
      <c r="K14"/>
      <c r="L14"/>
      <c r="M14"/>
      <c r="N14"/>
      <c r="O14"/>
    </row>
    <row r="15" spans="1:15" x14ac:dyDescent="0.35">
      <c r="B15" s="7">
        <v>8522</v>
      </c>
      <c r="C15" s="7" t="s">
        <v>57</v>
      </c>
      <c r="D15" s="14">
        <v>33995</v>
      </c>
      <c r="E15" s="8" t="s">
        <v>56</v>
      </c>
      <c r="F15"/>
      <c r="G15" s="8" t="s">
        <v>56</v>
      </c>
      <c r="H15" s="15">
        <f>SUM(D15:D20,E15:E20,G15)</f>
        <v>135884</v>
      </c>
      <c r="I15"/>
      <c r="J15"/>
      <c r="K15"/>
      <c r="L15"/>
      <c r="M15"/>
      <c r="N15"/>
      <c r="O15"/>
    </row>
    <row r="16" spans="1:15" x14ac:dyDescent="0.35">
      <c r="B16" s="7">
        <v>8522</v>
      </c>
      <c r="C16" s="7" t="s">
        <v>57</v>
      </c>
      <c r="D16" s="14">
        <v>13598</v>
      </c>
      <c r="E16" s="7" t="s">
        <v>65</v>
      </c>
      <c r="F16"/>
      <c r="G16"/>
      <c r="H16"/>
      <c r="I16"/>
      <c r="J16"/>
      <c r="K16"/>
      <c r="L16"/>
      <c r="M16"/>
      <c r="N16"/>
      <c r="O16"/>
    </row>
    <row r="17" spans="2:15" x14ac:dyDescent="0.35">
      <c r="B17" s="7">
        <v>8523</v>
      </c>
      <c r="C17" s="7" t="s">
        <v>58</v>
      </c>
      <c r="D17" s="14">
        <v>17498</v>
      </c>
      <c r="E17" s="8" t="s">
        <v>56</v>
      </c>
      <c r="F17"/>
      <c r="G17"/>
      <c r="H17"/>
      <c r="I17"/>
      <c r="J17"/>
      <c r="K17"/>
      <c r="L17"/>
      <c r="M17"/>
      <c r="N17"/>
      <c r="O17"/>
    </row>
    <row r="18" spans="2:15" x14ac:dyDescent="0.35">
      <c r="B18" s="7">
        <v>8524</v>
      </c>
      <c r="C18" s="7" t="s">
        <v>108</v>
      </c>
      <c r="D18" s="14">
        <v>41396</v>
      </c>
      <c r="E18" s="7" t="s">
        <v>65</v>
      </c>
      <c r="F18"/>
      <c r="G18"/>
      <c r="H18"/>
      <c r="I18"/>
      <c r="J18"/>
      <c r="K18"/>
      <c r="L18"/>
      <c r="M18"/>
      <c r="N18"/>
      <c r="O18"/>
    </row>
    <row r="19" spans="2:15" x14ac:dyDescent="0.35">
      <c r="B19" s="7">
        <v>8525</v>
      </c>
      <c r="C19" s="7" t="s">
        <v>108</v>
      </c>
      <c r="D19" s="14">
        <v>11899</v>
      </c>
      <c r="E19" s="8" t="s">
        <v>56</v>
      </c>
      <c r="F19"/>
      <c r="G19"/>
      <c r="H19"/>
      <c r="I19"/>
      <c r="J19"/>
      <c r="K19"/>
      <c r="L19"/>
      <c r="M19"/>
      <c r="N19"/>
      <c r="O19"/>
    </row>
    <row r="20" spans="2:15" x14ac:dyDescent="0.35">
      <c r="B20" s="7">
        <v>8526</v>
      </c>
      <c r="C20" s="7" t="s">
        <v>58</v>
      </c>
      <c r="D20" s="14">
        <v>17498</v>
      </c>
      <c r="E20" s="7" t="s">
        <v>65</v>
      </c>
      <c r="F20"/>
      <c r="G20"/>
      <c r="H20"/>
      <c r="I20"/>
      <c r="J20"/>
      <c r="K20"/>
      <c r="L20"/>
      <c r="M20"/>
      <c r="N20"/>
      <c r="O20"/>
    </row>
    <row r="21" spans="2:15" x14ac:dyDescent="0.35">
      <c r="E21" s="5"/>
      <c r="G21"/>
      <c r="H21"/>
      <c r="I21"/>
      <c r="J21"/>
      <c r="K21"/>
      <c r="L21"/>
      <c r="M21"/>
      <c r="N21"/>
      <c r="O21"/>
    </row>
    <row r="22" spans="2:15" x14ac:dyDescent="0.35">
      <c r="B22" s="2" t="s">
        <v>64</v>
      </c>
      <c r="C22" s="2"/>
      <c r="G22"/>
      <c r="H22"/>
      <c r="I22"/>
      <c r="J22"/>
      <c r="K22"/>
      <c r="L22"/>
      <c r="M22"/>
      <c r="N22"/>
      <c r="O22"/>
    </row>
    <row r="23" spans="2:15" x14ac:dyDescent="0.35">
      <c r="B23" s="9" t="s">
        <v>54</v>
      </c>
      <c r="C23" s="10" t="s">
        <v>60</v>
      </c>
      <c r="D23" s="10" t="s">
        <v>59</v>
      </c>
      <c r="E23" s="10" t="s">
        <v>66</v>
      </c>
      <c r="F23" s="10" t="s">
        <v>55</v>
      </c>
      <c r="G23"/>
      <c r="H23"/>
      <c r="I23"/>
      <c r="J23"/>
      <c r="K23"/>
      <c r="L23"/>
      <c r="M23"/>
      <c r="N23"/>
      <c r="O23"/>
    </row>
    <row r="24" spans="2:15" x14ac:dyDescent="0.35">
      <c r="B24" s="7">
        <v>8522</v>
      </c>
      <c r="C24" s="7" t="s">
        <v>57</v>
      </c>
      <c r="D24" s="14">
        <v>33995</v>
      </c>
      <c r="E24" s="12" t="s">
        <v>67</v>
      </c>
      <c r="F24" s="7" t="s">
        <v>65</v>
      </c>
      <c r="G24" s="7" t="s">
        <v>62</v>
      </c>
      <c r="H24">
        <f>SUMIFS(D24:D29,C24:C29,G24)</f>
        <v>53295</v>
      </c>
      <c r="I24"/>
      <c r="J24"/>
      <c r="K24"/>
      <c r="L24"/>
      <c r="M24"/>
      <c r="N24"/>
      <c r="O24"/>
    </row>
    <row r="25" spans="2:15" x14ac:dyDescent="0.35">
      <c r="B25" s="7">
        <v>8522</v>
      </c>
      <c r="C25" s="7" t="s">
        <v>57</v>
      </c>
      <c r="D25" s="14">
        <v>13598</v>
      </c>
      <c r="E25" s="12" t="s">
        <v>67</v>
      </c>
      <c r="F25" s="7" t="s">
        <v>65</v>
      </c>
      <c r="G25" s="12" t="s">
        <v>67</v>
      </c>
      <c r="H25">
        <f>SUMIFS(D24:D29,E24:E29,G25)</f>
        <v>106487</v>
      </c>
      <c r="I25"/>
      <c r="J25"/>
      <c r="K25"/>
      <c r="L25"/>
      <c r="M25"/>
      <c r="N25"/>
      <c r="O25"/>
    </row>
    <row r="26" spans="2:15" x14ac:dyDescent="0.35">
      <c r="B26" s="7">
        <v>8523</v>
      </c>
      <c r="C26" s="7" t="s">
        <v>58</v>
      </c>
      <c r="D26" s="14">
        <v>17498</v>
      </c>
      <c r="E26" s="7" t="s">
        <v>67</v>
      </c>
      <c r="F26" s="8" t="s">
        <v>56</v>
      </c>
      <c r="G26"/>
      <c r="H26"/>
      <c r="I26"/>
      <c r="J26"/>
      <c r="K26"/>
      <c r="L26"/>
      <c r="M26"/>
      <c r="N26"/>
      <c r="O26"/>
    </row>
    <row r="27" spans="2:15" x14ac:dyDescent="0.35">
      <c r="B27" s="7">
        <v>8524</v>
      </c>
      <c r="C27" s="7" t="s">
        <v>62</v>
      </c>
      <c r="D27" s="14">
        <v>41396</v>
      </c>
      <c r="E27" s="7" t="s">
        <v>67</v>
      </c>
      <c r="F27" s="7" t="s">
        <v>65</v>
      </c>
      <c r="G27"/>
      <c r="H27"/>
      <c r="I27"/>
      <c r="J27"/>
      <c r="K27"/>
      <c r="L27"/>
      <c r="M27"/>
      <c r="N27"/>
      <c r="O27"/>
    </row>
    <row r="28" spans="2:15" x14ac:dyDescent="0.35">
      <c r="B28" s="7">
        <v>8525</v>
      </c>
      <c r="C28" s="7" t="s">
        <v>62</v>
      </c>
      <c r="D28" s="14">
        <v>11899</v>
      </c>
      <c r="E28" s="7" t="s">
        <v>68</v>
      </c>
      <c r="F28" s="8" t="s">
        <v>56</v>
      </c>
      <c r="G28"/>
      <c r="H28"/>
      <c r="I28"/>
      <c r="J28"/>
      <c r="K28"/>
      <c r="L28"/>
      <c r="M28"/>
      <c r="N28"/>
      <c r="O28"/>
    </row>
    <row r="29" spans="2:15" x14ac:dyDescent="0.35">
      <c r="B29" s="7">
        <v>8526</v>
      </c>
      <c r="C29" s="7" t="s">
        <v>58</v>
      </c>
      <c r="D29" s="14">
        <v>17498</v>
      </c>
      <c r="E29" s="7" t="s">
        <v>68</v>
      </c>
      <c r="F29" s="7" t="s">
        <v>65</v>
      </c>
      <c r="G29"/>
      <c r="H29"/>
      <c r="I29"/>
      <c r="J29"/>
      <c r="K29"/>
      <c r="L29"/>
      <c r="M29"/>
      <c r="N29"/>
      <c r="O29"/>
    </row>
    <row r="30" spans="2:15" x14ac:dyDescent="0.35">
      <c r="E30" s="5"/>
      <c r="G30"/>
      <c r="H30"/>
      <c r="I30"/>
      <c r="J30"/>
      <c r="K30"/>
      <c r="L30"/>
      <c r="M30"/>
      <c r="N30"/>
      <c r="O30"/>
    </row>
    <row r="31" spans="2:15" x14ac:dyDescent="0.35">
      <c r="G31"/>
      <c r="H31"/>
      <c r="I31"/>
      <c r="J31"/>
      <c r="K31"/>
      <c r="L31"/>
      <c r="M31"/>
      <c r="N31"/>
      <c r="O31"/>
    </row>
    <row r="32" spans="2:15" x14ac:dyDescent="0.35">
      <c r="G32"/>
      <c r="H32"/>
      <c r="I32"/>
      <c r="J32"/>
      <c r="K32"/>
      <c r="L32"/>
      <c r="M32"/>
      <c r="N32"/>
      <c r="O32"/>
    </row>
    <row r="33" spans="7:15" x14ac:dyDescent="0.35">
      <c r="G33"/>
      <c r="H33"/>
      <c r="I33"/>
      <c r="J33"/>
      <c r="K33"/>
      <c r="L33"/>
      <c r="M33"/>
      <c r="N33"/>
      <c r="O33"/>
    </row>
    <row r="34" spans="7:15" x14ac:dyDescent="0.35">
      <c r="G34"/>
      <c r="H34"/>
      <c r="I34"/>
      <c r="J34"/>
      <c r="K34"/>
      <c r="L34"/>
      <c r="M34"/>
      <c r="N34"/>
      <c r="O34"/>
    </row>
    <row r="35" spans="7:15" x14ac:dyDescent="0.35">
      <c r="G35"/>
      <c r="H35"/>
      <c r="I35"/>
      <c r="J35"/>
      <c r="K35"/>
      <c r="L35"/>
      <c r="M35"/>
      <c r="N35"/>
      <c r="O35"/>
    </row>
    <row r="36" spans="7:15" x14ac:dyDescent="0.35">
      <c r="G36"/>
      <c r="H36"/>
      <c r="I36"/>
      <c r="J36"/>
      <c r="K36"/>
      <c r="L36"/>
      <c r="M36"/>
      <c r="N36"/>
      <c r="O36"/>
    </row>
    <row r="38" spans="7:15" x14ac:dyDescent="0.35">
      <c r="H38"/>
      <c r="I38"/>
    </row>
    <row r="39" spans="7:15" x14ac:dyDescent="0.35">
      <c r="H39"/>
      <c r="I39"/>
    </row>
    <row r="40" spans="7:15" x14ac:dyDescent="0.35">
      <c r="H40"/>
      <c r="I40"/>
    </row>
    <row r="41" spans="7:15" x14ac:dyDescent="0.35">
      <c r="H41"/>
    </row>
    <row r="42" spans="7:15" x14ac:dyDescent="0.35">
      <c r="H42"/>
    </row>
    <row r="43" spans="7:15" x14ac:dyDescent="0.35">
      <c r="H43"/>
    </row>
    <row r="44" spans="7:15" x14ac:dyDescent="0.35">
      <c r="H44"/>
    </row>
    <row r="45" spans="7:15" x14ac:dyDescent="0.35">
      <c r="H45"/>
    </row>
    <row r="46" spans="7:15" x14ac:dyDescent="0.35">
      <c r="H46"/>
    </row>
    <row r="47" spans="7:15" x14ac:dyDescent="0.35">
      <c r="H47"/>
    </row>
    <row r="48" spans="7:15" x14ac:dyDescent="0.35">
      <c r="H48"/>
    </row>
    <row r="49" spans="8:8" x14ac:dyDescent="0.35">
      <c r="H49"/>
    </row>
    <row r="50" spans="8:8" x14ac:dyDescent="0.35">
      <c r="H50"/>
    </row>
    <row r="51" spans="8:8" x14ac:dyDescent="0.35">
      <c r="H51"/>
    </row>
    <row r="52" spans="8:8" x14ac:dyDescent="0.35">
      <c r="H52"/>
    </row>
    <row r="53" spans="8:8" x14ac:dyDescent="0.35">
      <c r="H53"/>
    </row>
    <row r="54" spans="8:8" x14ac:dyDescent="0.35">
      <c r="H54"/>
    </row>
    <row r="55" spans="8:8" x14ac:dyDescent="0.35">
      <c r="H55"/>
    </row>
    <row r="56" spans="8:8" x14ac:dyDescent="0.35">
      <c r="H56"/>
    </row>
    <row r="57" spans="8:8" x14ac:dyDescent="0.35">
      <c r="H57"/>
    </row>
    <row r="58" spans="8:8" x14ac:dyDescent="0.35">
      <c r="H58"/>
    </row>
    <row r="59" spans="8:8" x14ac:dyDescent="0.35">
      <c r="H59"/>
    </row>
    <row r="60" spans="8:8" x14ac:dyDescent="0.35">
      <c r="H60"/>
    </row>
    <row r="61" spans="8:8" x14ac:dyDescent="0.35">
      <c r="H61"/>
    </row>
    <row r="62" spans="8:8" x14ac:dyDescent="0.35">
      <c r="H62"/>
    </row>
    <row r="63" spans="8:8" x14ac:dyDescent="0.35">
      <c r="H63"/>
    </row>
    <row r="64" spans="8:8" x14ac:dyDescent="0.35">
      <c r="H64"/>
    </row>
    <row r="65" spans="8:8" x14ac:dyDescent="0.35">
      <c r="H65"/>
    </row>
    <row r="66" spans="8:8" x14ac:dyDescent="0.35">
      <c r="H66"/>
    </row>
    <row r="67" spans="8:8" x14ac:dyDescent="0.35">
      <c r="H67"/>
    </row>
    <row r="68" spans="8:8" x14ac:dyDescent="0.35">
      <c r="H68"/>
    </row>
    <row r="69" spans="8:8" x14ac:dyDescent="0.35">
      <c r="H69"/>
    </row>
    <row r="70" spans="8:8" x14ac:dyDescent="0.35">
      <c r="H70"/>
    </row>
    <row r="71" spans="8:8" x14ac:dyDescent="0.35">
      <c r="H71"/>
    </row>
    <row r="72" spans="8:8" x14ac:dyDescent="0.35">
      <c r="H72"/>
    </row>
    <row r="73" spans="8:8" x14ac:dyDescent="0.35">
      <c r="H73"/>
    </row>
    <row r="74" spans="8:8" x14ac:dyDescent="0.35">
      <c r="H74"/>
    </row>
    <row r="75" spans="8:8" x14ac:dyDescent="0.35">
      <c r="H75"/>
    </row>
    <row r="76" spans="8:8" x14ac:dyDescent="0.35">
      <c r="H76"/>
    </row>
    <row r="77" spans="8:8" x14ac:dyDescent="0.35">
      <c r="H77"/>
    </row>
    <row r="78" spans="8:8" x14ac:dyDescent="0.35">
      <c r="H78"/>
    </row>
    <row r="79" spans="8:8" x14ac:dyDescent="0.35">
      <c r="H79"/>
    </row>
    <row r="80" spans="8:8" x14ac:dyDescent="0.35">
      <c r="H80"/>
    </row>
    <row r="81" spans="8:8" x14ac:dyDescent="0.35">
      <c r="H81"/>
    </row>
    <row r="82" spans="8:8" x14ac:dyDescent="0.35">
      <c r="H82"/>
    </row>
    <row r="83" spans="8:8" x14ac:dyDescent="0.35">
      <c r="H83"/>
    </row>
    <row r="84" spans="8:8" x14ac:dyDescent="0.35">
      <c r="H84"/>
    </row>
  </sheetData>
  <mergeCells count="1">
    <mergeCell ref="A1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N79"/>
  <sheetViews>
    <sheetView showGridLines="0" topLeftCell="A16" zoomScaleNormal="100" workbookViewId="0">
      <selection activeCell="C34" sqref="C34"/>
    </sheetView>
  </sheetViews>
  <sheetFormatPr defaultColWidth="8.7265625" defaultRowHeight="14.5" x14ac:dyDescent="0.35"/>
  <cols>
    <col min="1" max="1" width="8.7265625" style="3"/>
    <col min="2" max="2" width="20.7265625" style="1" customWidth="1"/>
    <col min="3" max="3" width="14.7265625" style="1" customWidth="1"/>
    <col min="4" max="4" width="14.54296875" style="1" bestFit="1" customWidth="1"/>
    <col min="5" max="5" width="20.26953125" style="1" customWidth="1"/>
    <col min="6" max="6" width="9.81640625" style="1" bestFit="1" customWidth="1"/>
    <col min="7" max="7" width="14.54296875" style="1" customWidth="1"/>
    <col min="8" max="8" width="12.7265625" style="1" bestFit="1" customWidth="1"/>
    <col min="9" max="9" width="8.7265625" style="1"/>
    <col min="10" max="10" width="15.26953125" style="1" customWidth="1"/>
    <col min="11" max="11" width="14.54296875" style="1" bestFit="1" customWidth="1"/>
    <col min="12" max="12" width="13.7265625" style="1" customWidth="1"/>
    <col min="13" max="13" width="12.7265625" style="1" customWidth="1"/>
    <col min="14" max="14" width="14.54296875" style="1" customWidth="1"/>
    <col min="15" max="16384" width="8.7265625" style="1"/>
  </cols>
  <sheetData>
    <row r="1" spans="1:12" x14ac:dyDescent="0.35">
      <c r="A1" s="16" t="s">
        <v>79</v>
      </c>
      <c r="B1" s="16"/>
      <c r="C1" s="16"/>
      <c r="D1" s="16"/>
      <c r="E1" s="16"/>
      <c r="F1" s="16"/>
      <c r="G1" s="16"/>
      <c r="H1" s="16"/>
    </row>
    <row r="2" spans="1:12" x14ac:dyDescent="0.35">
      <c r="A2" s="16"/>
      <c r="B2" s="16"/>
      <c r="C2" s="16"/>
      <c r="D2" s="16"/>
      <c r="E2" s="16"/>
      <c r="F2" s="16"/>
      <c r="G2" s="16"/>
      <c r="H2" s="16"/>
    </row>
    <row r="5" spans="1:12" x14ac:dyDescent="0.35">
      <c r="A5" s="3" t="s">
        <v>105</v>
      </c>
      <c r="B5" s="1" t="s">
        <v>98</v>
      </c>
      <c r="H5"/>
    </row>
    <row r="6" spans="1:12" x14ac:dyDescent="0.35">
      <c r="B6" s="11" t="s">
        <v>99</v>
      </c>
      <c r="G6"/>
      <c r="H6"/>
    </row>
    <row r="7" spans="1:12" x14ac:dyDescent="0.35">
      <c r="G7" s="6"/>
      <c r="H7"/>
    </row>
    <row r="8" spans="1:12" x14ac:dyDescent="0.35">
      <c r="A8" s="3" t="s">
        <v>106</v>
      </c>
      <c r="B8" s="1" t="s">
        <v>111</v>
      </c>
      <c r="G8" s="6"/>
      <c r="H8"/>
    </row>
    <row r="9" spans="1:12" x14ac:dyDescent="0.35">
      <c r="B9" s="11" t="s">
        <v>101</v>
      </c>
      <c r="G9" s="6"/>
      <c r="H9"/>
    </row>
    <row r="10" spans="1:12" x14ac:dyDescent="0.35">
      <c r="G10" s="6"/>
      <c r="H10"/>
    </row>
    <row r="11" spans="1:12" x14ac:dyDescent="0.35">
      <c r="A11" s="3" t="s">
        <v>107</v>
      </c>
      <c r="B11" s="1" t="s">
        <v>113</v>
      </c>
      <c r="G11" s="6"/>
      <c r="H11"/>
    </row>
    <row r="12" spans="1:12" x14ac:dyDescent="0.35">
      <c r="B12" s="1" t="s">
        <v>102</v>
      </c>
      <c r="G12" s="6"/>
      <c r="H12"/>
    </row>
    <row r="13" spans="1:12" x14ac:dyDescent="0.35">
      <c r="G13"/>
      <c r="H13"/>
      <c r="I13" s="4"/>
      <c r="J13"/>
      <c r="K13"/>
      <c r="L13"/>
    </row>
    <row r="14" spans="1:12" x14ac:dyDescent="0.35">
      <c r="A14" s="3" t="s">
        <v>109</v>
      </c>
      <c r="B14" s="1" t="s">
        <v>104</v>
      </c>
      <c r="G14" s="6"/>
      <c r="H14"/>
      <c r="I14" s="4"/>
      <c r="J14"/>
      <c r="K14"/>
      <c r="L14"/>
    </row>
    <row r="15" spans="1:12" x14ac:dyDescent="0.35">
      <c r="B15" s="1" t="s">
        <v>103</v>
      </c>
      <c r="G15" s="6"/>
      <c r="H15"/>
      <c r="I15" s="4"/>
      <c r="J15"/>
      <c r="K15"/>
      <c r="L15"/>
    </row>
    <row r="16" spans="1:12" x14ac:dyDescent="0.35">
      <c r="G16"/>
      <c r="H16"/>
      <c r="I16" s="4"/>
      <c r="J16"/>
      <c r="K16"/>
      <c r="L16"/>
    </row>
    <row r="17" spans="2:14" x14ac:dyDescent="0.35">
      <c r="B17" s="2" t="s">
        <v>0</v>
      </c>
      <c r="C17" s="2"/>
      <c r="G17"/>
      <c r="H17"/>
      <c r="I17"/>
      <c r="J17"/>
      <c r="K17"/>
      <c r="L17"/>
      <c r="M17"/>
      <c r="N17"/>
    </row>
    <row r="18" spans="2:14" x14ac:dyDescent="0.35">
      <c r="B18" s="9" t="s">
        <v>1</v>
      </c>
      <c r="C18" s="10" t="s">
        <v>100</v>
      </c>
      <c r="D18" s="10" t="s">
        <v>110</v>
      </c>
      <c r="E18" s="10" t="s">
        <v>69</v>
      </c>
      <c r="F18" s="10" t="s">
        <v>112</v>
      </c>
      <c r="G18"/>
      <c r="H18"/>
      <c r="I18"/>
      <c r="J18"/>
      <c r="K18"/>
      <c r="L18"/>
      <c r="M18"/>
      <c r="N18"/>
    </row>
    <row r="19" spans="2:14" x14ac:dyDescent="0.35">
      <c r="B19" s="7" t="s">
        <v>70</v>
      </c>
      <c r="C19" s="7" t="str">
        <f>LEFT(B19,6)</f>
        <v>Stepha</v>
      </c>
      <c r="D19" s="7">
        <f>FIND(" ",B19)</f>
        <v>10</v>
      </c>
      <c r="E19" s="7" t="str">
        <f>LEFT(B19,FIND(" ",B19)-1)</f>
        <v>Stephanie</v>
      </c>
      <c r="F19" s="7" t="str">
        <f>RIGHT(B19,LEN(B19)-FIND(" ",B19))</f>
        <v>Miller</v>
      </c>
      <c r="G19"/>
      <c r="H19"/>
      <c r="I19"/>
      <c r="J19"/>
      <c r="K19"/>
      <c r="L19"/>
      <c r="M19"/>
      <c r="N19"/>
    </row>
    <row r="20" spans="2:14" x14ac:dyDescent="0.35">
      <c r="B20" s="7" t="s">
        <v>22</v>
      </c>
      <c r="C20" s="7" t="str">
        <f t="shared" ref="C20:C24" si="0">LEFT(B20,6)</f>
        <v xml:space="preserve">Scott </v>
      </c>
      <c r="D20" s="7">
        <f t="shared" ref="D20:D24" si="1">FIND(" ",B20)</f>
        <v>6</v>
      </c>
      <c r="E20" s="7" t="str">
        <f t="shared" ref="E20:E24" si="2">LEFT(B20,FIND(" ",B20)-1)</f>
        <v>Scott</v>
      </c>
      <c r="F20" s="7" t="str">
        <f t="shared" ref="F20:F24" si="3">RIGHT(B20,LEN(B20)-FIND(" ",B20))</f>
        <v>Joyce</v>
      </c>
      <c r="G20"/>
      <c r="H20"/>
      <c r="I20"/>
      <c r="J20"/>
      <c r="K20"/>
      <c r="L20"/>
      <c r="M20"/>
      <c r="N20"/>
    </row>
    <row r="21" spans="2:14" x14ac:dyDescent="0.35">
      <c r="B21" s="7" t="s">
        <v>23</v>
      </c>
      <c r="C21" s="7" t="str">
        <f t="shared" si="0"/>
        <v>Mary O</v>
      </c>
      <c r="D21" s="7">
        <f t="shared" si="1"/>
        <v>5</v>
      </c>
      <c r="E21" s="7" t="str">
        <f t="shared" si="2"/>
        <v>Mary</v>
      </c>
      <c r="F21" s="7" t="str">
        <f t="shared" si="3"/>
        <v>Oms</v>
      </c>
      <c r="G21"/>
      <c r="H21"/>
      <c r="I21"/>
      <c r="J21"/>
      <c r="K21"/>
      <c r="L21"/>
      <c r="M21"/>
      <c r="N21"/>
    </row>
    <row r="22" spans="2:14" x14ac:dyDescent="0.35">
      <c r="B22" s="7" t="s">
        <v>24</v>
      </c>
      <c r="C22" s="7" t="str">
        <f t="shared" si="0"/>
        <v>Jaremy</v>
      </c>
      <c r="D22" s="7">
        <f t="shared" si="1"/>
        <v>7</v>
      </c>
      <c r="E22" s="7" t="str">
        <f t="shared" si="2"/>
        <v>Jaremy</v>
      </c>
      <c r="F22" s="7" t="str">
        <f t="shared" si="3"/>
        <v>Davis</v>
      </c>
      <c r="G22"/>
      <c r="H22"/>
      <c r="I22"/>
      <c r="J22"/>
      <c r="K22"/>
      <c r="L22"/>
      <c r="M22"/>
      <c r="N22"/>
    </row>
    <row r="23" spans="2:14" x14ac:dyDescent="0.35">
      <c r="B23" s="7" t="s">
        <v>25</v>
      </c>
      <c r="C23" s="7" t="str">
        <f t="shared" si="0"/>
        <v>Darrel</v>
      </c>
      <c r="D23" s="7">
        <f t="shared" si="1"/>
        <v>7</v>
      </c>
      <c r="E23" s="7" t="str">
        <f t="shared" si="2"/>
        <v>Darrel</v>
      </c>
      <c r="F23" s="7" t="str">
        <f t="shared" si="3"/>
        <v>Hobbs</v>
      </c>
      <c r="G23"/>
      <c r="H23"/>
      <c r="I23"/>
      <c r="J23"/>
      <c r="K23"/>
      <c r="L23"/>
      <c r="M23"/>
      <c r="N23"/>
    </row>
    <row r="24" spans="2:14" x14ac:dyDescent="0.35">
      <c r="B24" s="7" t="s">
        <v>26</v>
      </c>
      <c r="C24" s="7" t="str">
        <f t="shared" si="0"/>
        <v xml:space="preserve">David </v>
      </c>
      <c r="D24" s="7">
        <f t="shared" si="1"/>
        <v>6</v>
      </c>
      <c r="E24" s="7" t="str">
        <f t="shared" si="2"/>
        <v>David</v>
      </c>
      <c r="F24" s="7" t="str">
        <f t="shared" si="3"/>
        <v>Jones</v>
      </c>
      <c r="G24"/>
      <c r="H24"/>
      <c r="I24"/>
      <c r="J24"/>
      <c r="K24"/>
      <c r="L24"/>
      <c r="M24"/>
      <c r="N24"/>
    </row>
    <row r="25" spans="2:14" x14ac:dyDescent="0.35">
      <c r="E25" s="5"/>
      <c r="G25"/>
      <c r="H25"/>
      <c r="I25"/>
      <c r="J25"/>
      <c r="K25"/>
      <c r="L25"/>
      <c r="M25"/>
      <c r="N25"/>
    </row>
    <row r="26" spans="2:14" x14ac:dyDescent="0.35">
      <c r="B26" s="2" t="s">
        <v>64</v>
      </c>
      <c r="E26" s="2"/>
      <c r="G26"/>
      <c r="H26"/>
      <c r="I26"/>
      <c r="J26"/>
      <c r="K26"/>
      <c r="L26"/>
      <c r="M26"/>
      <c r="N26"/>
    </row>
    <row r="27" spans="2:14" x14ac:dyDescent="0.35">
      <c r="B27" s="9" t="s">
        <v>1</v>
      </c>
      <c r="E27" s="2"/>
      <c r="G27"/>
      <c r="H27"/>
      <c r="I27"/>
      <c r="J27"/>
      <c r="K27"/>
      <c r="L27"/>
      <c r="M27"/>
      <c r="N27"/>
    </row>
    <row r="28" spans="2:14" x14ac:dyDescent="0.35">
      <c r="B28" s="7" t="s">
        <v>70</v>
      </c>
      <c r="C28" s="7" t="str">
        <f>LEFT(B28,FIND(" ",B28)-1)</f>
        <v>Stephanie</v>
      </c>
      <c r="E28" s="2"/>
      <c r="G28"/>
      <c r="H28"/>
      <c r="I28"/>
      <c r="J28"/>
      <c r="K28"/>
      <c r="L28"/>
      <c r="M28"/>
      <c r="N28"/>
    </row>
    <row r="29" spans="2:14" x14ac:dyDescent="0.35">
      <c r="B29" s="7" t="s">
        <v>22</v>
      </c>
      <c r="C29" s="7" t="str">
        <f t="shared" ref="C29:C33" si="4">LEFT(B29,FIND(" ",B29)-1)</f>
        <v>Scott</v>
      </c>
      <c r="E29" s="2"/>
      <c r="G29"/>
      <c r="H29"/>
      <c r="I29"/>
      <c r="J29"/>
      <c r="K29"/>
      <c r="L29"/>
      <c r="M29"/>
      <c r="N29"/>
    </row>
    <row r="30" spans="2:14" x14ac:dyDescent="0.35">
      <c r="B30" s="7" t="s">
        <v>23</v>
      </c>
      <c r="C30" s="7" t="str">
        <f t="shared" si="4"/>
        <v>Mary</v>
      </c>
      <c r="E30" s="2"/>
      <c r="G30"/>
      <c r="H30"/>
      <c r="I30"/>
      <c r="J30"/>
      <c r="K30"/>
      <c r="L30"/>
      <c r="M30"/>
      <c r="N30"/>
    </row>
    <row r="31" spans="2:14" x14ac:dyDescent="0.35">
      <c r="B31" s="7" t="s">
        <v>24</v>
      </c>
      <c r="C31" s="7" t="str">
        <f t="shared" si="4"/>
        <v>Jaremy</v>
      </c>
      <c r="E31" s="2"/>
      <c r="G31"/>
      <c r="H31"/>
      <c r="I31"/>
      <c r="J31"/>
      <c r="K31"/>
      <c r="L31"/>
      <c r="M31"/>
      <c r="N31"/>
    </row>
    <row r="32" spans="2:14" x14ac:dyDescent="0.35">
      <c r="B32" s="7" t="s">
        <v>25</v>
      </c>
      <c r="C32" s="7" t="str">
        <f t="shared" si="4"/>
        <v>Darrel</v>
      </c>
      <c r="E32" s="2"/>
    </row>
    <row r="33" spans="2:8" x14ac:dyDescent="0.35">
      <c r="B33" s="7" t="s">
        <v>26</v>
      </c>
      <c r="C33" s="7" t="str">
        <f t="shared" si="4"/>
        <v>David</v>
      </c>
      <c r="E33" s="2"/>
      <c r="G33"/>
      <c r="H33"/>
    </row>
    <row r="34" spans="2:8" x14ac:dyDescent="0.35">
      <c r="G34"/>
      <c r="H34"/>
    </row>
    <row r="35" spans="2:8" x14ac:dyDescent="0.35">
      <c r="G35"/>
      <c r="H35"/>
    </row>
    <row r="36" spans="2:8" x14ac:dyDescent="0.35">
      <c r="G36"/>
    </row>
    <row r="37" spans="2:8" x14ac:dyDescent="0.35">
      <c r="G37"/>
    </row>
    <row r="38" spans="2:8" x14ac:dyDescent="0.35">
      <c r="G38"/>
    </row>
    <row r="39" spans="2:8" x14ac:dyDescent="0.35">
      <c r="G39"/>
    </row>
    <row r="40" spans="2:8" x14ac:dyDescent="0.35">
      <c r="G40"/>
    </row>
    <row r="41" spans="2:8" x14ac:dyDescent="0.35">
      <c r="G41"/>
    </row>
    <row r="42" spans="2:8" x14ac:dyDescent="0.35">
      <c r="G42"/>
    </row>
    <row r="43" spans="2:8" x14ac:dyDescent="0.35">
      <c r="G43"/>
    </row>
    <row r="44" spans="2:8" x14ac:dyDescent="0.35">
      <c r="G44"/>
    </row>
    <row r="45" spans="2:8" x14ac:dyDescent="0.35">
      <c r="G45"/>
    </row>
    <row r="46" spans="2:8" x14ac:dyDescent="0.35">
      <c r="G46"/>
    </row>
    <row r="47" spans="2:8" x14ac:dyDescent="0.35">
      <c r="G47"/>
    </row>
    <row r="48" spans="2:8" x14ac:dyDescent="0.35">
      <c r="G48"/>
    </row>
    <row r="49" spans="7:7" x14ac:dyDescent="0.35">
      <c r="G49"/>
    </row>
    <row r="50" spans="7:7" x14ac:dyDescent="0.35">
      <c r="G50"/>
    </row>
    <row r="51" spans="7:7" x14ac:dyDescent="0.35">
      <c r="G51"/>
    </row>
    <row r="52" spans="7:7" x14ac:dyDescent="0.35">
      <c r="G52"/>
    </row>
    <row r="53" spans="7:7" x14ac:dyDescent="0.35">
      <c r="G53"/>
    </row>
    <row r="54" spans="7:7" x14ac:dyDescent="0.35">
      <c r="G54"/>
    </row>
    <row r="55" spans="7:7" x14ac:dyDescent="0.35">
      <c r="G55"/>
    </row>
    <row r="56" spans="7:7" x14ac:dyDescent="0.35">
      <c r="G56"/>
    </row>
    <row r="57" spans="7:7" x14ac:dyDescent="0.35">
      <c r="G57"/>
    </row>
    <row r="58" spans="7:7" x14ac:dyDescent="0.35">
      <c r="G58"/>
    </row>
    <row r="59" spans="7:7" x14ac:dyDescent="0.35">
      <c r="G59"/>
    </row>
    <row r="60" spans="7:7" x14ac:dyDescent="0.35">
      <c r="G60"/>
    </row>
    <row r="61" spans="7:7" x14ac:dyDescent="0.35">
      <c r="G61"/>
    </row>
    <row r="62" spans="7:7" x14ac:dyDescent="0.35">
      <c r="G62"/>
    </row>
    <row r="63" spans="7:7" x14ac:dyDescent="0.35">
      <c r="G63"/>
    </row>
    <row r="64" spans="7:7" x14ac:dyDescent="0.35">
      <c r="G64"/>
    </row>
    <row r="65" spans="7:7" x14ac:dyDescent="0.35">
      <c r="G65"/>
    </row>
    <row r="66" spans="7:7" x14ac:dyDescent="0.35">
      <c r="G66"/>
    </row>
    <row r="67" spans="7:7" x14ac:dyDescent="0.35">
      <c r="G67"/>
    </row>
    <row r="68" spans="7:7" x14ac:dyDescent="0.35">
      <c r="G68"/>
    </row>
    <row r="69" spans="7:7" x14ac:dyDescent="0.35">
      <c r="G69"/>
    </row>
    <row r="70" spans="7:7" x14ac:dyDescent="0.35">
      <c r="G70"/>
    </row>
    <row r="71" spans="7:7" x14ac:dyDescent="0.35">
      <c r="G71"/>
    </row>
    <row r="72" spans="7:7" x14ac:dyDescent="0.35">
      <c r="G72"/>
    </row>
    <row r="73" spans="7:7" x14ac:dyDescent="0.35">
      <c r="G73"/>
    </row>
    <row r="74" spans="7:7" x14ac:dyDescent="0.35">
      <c r="G74"/>
    </row>
    <row r="75" spans="7:7" x14ac:dyDescent="0.35">
      <c r="G75"/>
    </row>
    <row r="76" spans="7:7" x14ac:dyDescent="0.35">
      <c r="G76"/>
    </row>
    <row r="77" spans="7:7" x14ac:dyDescent="0.35">
      <c r="G77"/>
    </row>
    <row r="78" spans="7:7" x14ac:dyDescent="0.35">
      <c r="G78"/>
    </row>
    <row r="79" spans="7:7" x14ac:dyDescent="0.35">
      <c r="G79"/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B55"/>
  <sheetViews>
    <sheetView zoomScale="160" zoomScaleNormal="160" workbookViewId="0">
      <selection activeCell="A13" sqref="A13"/>
    </sheetView>
  </sheetViews>
  <sheetFormatPr defaultRowHeight="14.5" x14ac:dyDescent="0.35"/>
  <cols>
    <col min="1" max="1" width="27.453125" bestFit="1" customWidth="1"/>
    <col min="2" max="2" width="15" bestFit="1" customWidth="1"/>
  </cols>
  <sheetData>
    <row r="1" spans="1:2" x14ac:dyDescent="0.35">
      <c r="A1" s="10" t="s">
        <v>74</v>
      </c>
      <c r="B1" s="10" t="s">
        <v>72</v>
      </c>
    </row>
    <row r="2" spans="1:2" x14ac:dyDescent="0.35">
      <c r="A2" s="12" t="s">
        <v>2</v>
      </c>
      <c r="B2" s="12">
        <v>40800</v>
      </c>
    </row>
    <row r="3" spans="1:2" x14ac:dyDescent="0.35">
      <c r="A3" s="12" t="s">
        <v>3</v>
      </c>
      <c r="B3" s="12">
        <v>37866</v>
      </c>
    </row>
    <row r="4" spans="1:2" x14ac:dyDescent="0.35">
      <c r="A4" s="12" t="s">
        <v>4</v>
      </c>
      <c r="B4" s="12">
        <v>37083</v>
      </c>
    </row>
    <row r="5" spans="1:2" x14ac:dyDescent="0.35">
      <c r="A5" s="12" t="s">
        <v>5</v>
      </c>
      <c r="B5" s="12">
        <v>37361</v>
      </c>
    </row>
    <row r="6" spans="1:2" x14ac:dyDescent="0.35">
      <c r="A6" s="12" t="s">
        <v>6</v>
      </c>
      <c r="B6" s="12">
        <v>36650</v>
      </c>
    </row>
    <row r="7" spans="1:2" x14ac:dyDescent="0.35">
      <c r="A7" s="12" t="s">
        <v>7</v>
      </c>
      <c r="B7" s="12">
        <v>37524</v>
      </c>
    </row>
    <row r="8" spans="1:2" x14ac:dyDescent="0.35">
      <c r="A8" s="12" t="s">
        <v>8</v>
      </c>
      <c r="B8" s="12">
        <v>38325</v>
      </c>
    </row>
    <row r="9" spans="1:2" x14ac:dyDescent="0.35">
      <c r="A9" s="12" t="s">
        <v>9</v>
      </c>
      <c r="B9" s="12">
        <v>38032</v>
      </c>
    </row>
    <row r="10" spans="1:2" x14ac:dyDescent="0.35">
      <c r="A10" s="12" t="s">
        <v>73</v>
      </c>
      <c r="B10" s="12">
        <v>37828</v>
      </c>
    </row>
    <row r="11" spans="1:2" x14ac:dyDescent="0.35">
      <c r="A11" s="12" t="s">
        <v>10</v>
      </c>
      <c r="B11" s="12">
        <v>38806</v>
      </c>
    </row>
    <row r="12" spans="1:2" x14ac:dyDescent="0.35">
      <c r="A12" s="12" t="s">
        <v>11</v>
      </c>
      <c r="B12" s="12">
        <v>38412</v>
      </c>
    </row>
    <row r="13" spans="1:2" x14ac:dyDescent="0.35">
      <c r="A13" s="12" t="s">
        <v>12</v>
      </c>
      <c r="B13" s="12">
        <v>35892</v>
      </c>
    </row>
    <row r="14" spans="1:2" x14ac:dyDescent="0.35">
      <c r="A14" s="12" t="s">
        <v>13</v>
      </c>
      <c r="B14" s="12">
        <v>42112</v>
      </c>
    </row>
    <row r="15" spans="1:2" x14ac:dyDescent="0.35">
      <c r="A15" s="12" t="s">
        <v>14</v>
      </c>
      <c r="B15" s="12">
        <v>40101</v>
      </c>
    </row>
    <row r="16" spans="1:2" x14ac:dyDescent="0.35">
      <c r="A16" s="12" t="s">
        <v>15</v>
      </c>
      <c r="B16" s="12">
        <v>37663</v>
      </c>
    </row>
    <row r="17" spans="1:2" x14ac:dyDescent="0.35">
      <c r="A17" s="12" t="s">
        <v>16</v>
      </c>
      <c r="B17" s="12">
        <v>39605</v>
      </c>
    </row>
    <row r="18" spans="1:2" x14ac:dyDescent="0.35">
      <c r="A18" s="12" t="s">
        <v>17</v>
      </c>
      <c r="B18" s="12">
        <v>35454</v>
      </c>
    </row>
    <row r="19" spans="1:2" x14ac:dyDescent="0.35">
      <c r="A19" s="12" t="s">
        <v>18</v>
      </c>
      <c r="B19" s="12">
        <v>41774</v>
      </c>
    </row>
    <row r="20" spans="1:2" x14ac:dyDescent="0.35">
      <c r="A20" s="12" t="s">
        <v>19</v>
      </c>
      <c r="B20" s="12">
        <v>38036</v>
      </c>
    </row>
    <row r="21" spans="1:2" x14ac:dyDescent="0.35">
      <c r="A21" s="12" t="s">
        <v>20</v>
      </c>
      <c r="B21" s="12">
        <v>38032</v>
      </c>
    </row>
    <row r="22" spans="1:2" x14ac:dyDescent="0.35">
      <c r="A22" s="12" t="s">
        <v>21</v>
      </c>
      <c r="B22" s="12">
        <v>41538</v>
      </c>
    </row>
    <row r="23" spans="1:2" x14ac:dyDescent="0.35">
      <c r="A23" s="12" t="s">
        <v>22</v>
      </c>
      <c r="B23" s="12">
        <v>36113</v>
      </c>
    </row>
    <row r="24" spans="1:2" x14ac:dyDescent="0.35">
      <c r="A24" s="12" t="s">
        <v>23</v>
      </c>
      <c r="B24" s="12">
        <v>40798</v>
      </c>
    </row>
    <row r="25" spans="1:2" x14ac:dyDescent="0.35">
      <c r="A25" s="12" t="s">
        <v>24</v>
      </c>
      <c r="B25" s="12">
        <v>36800</v>
      </c>
    </row>
    <row r="26" spans="1:2" x14ac:dyDescent="0.35">
      <c r="A26" s="12" t="s">
        <v>25</v>
      </c>
      <c r="B26" s="12">
        <v>40691</v>
      </c>
    </row>
    <row r="27" spans="1:2" x14ac:dyDescent="0.35">
      <c r="A27" s="12" t="s">
        <v>26</v>
      </c>
      <c r="B27" s="12">
        <v>40414</v>
      </c>
    </row>
    <row r="28" spans="1:2" x14ac:dyDescent="0.35">
      <c r="A28" s="12" t="s">
        <v>27</v>
      </c>
      <c r="B28" s="12">
        <v>36446</v>
      </c>
    </row>
    <row r="29" spans="1:2" x14ac:dyDescent="0.35">
      <c r="A29" s="12" t="s">
        <v>28</v>
      </c>
      <c r="B29" s="12">
        <v>42005</v>
      </c>
    </row>
    <row r="30" spans="1:2" x14ac:dyDescent="0.35">
      <c r="A30" s="12" t="s">
        <v>29</v>
      </c>
      <c r="B30" s="12">
        <v>38307</v>
      </c>
    </row>
    <row r="31" spans="1:2" x14ac:dyDescent="0.35">
      <c r="A31" s="12" t="s">
        <v>30</v>
      </c>
      <c r="B31" s="12">
        <v>41297</v>
      </c>
    </row>
    <row r="32" spans="1:2" x14ac:dyDescent="0.35">
      <c r="A32" s="12" t="s">
        <v>31</v>
      </c>
      <c r="B32" s="12">
        <v>37642</v>
      </c>
    </row>
    <row r="33" spans="1:2" x14ac:dyDescent="0.35">
      <c r="A33" s="12" t="s">
        <v>32</v>
      </c>
      <c r="B33" s="12">
        <v>40343</v>
      </c>
    </row>
    <row r="34" spans="1:2" x14ac:dyDescent="0.35">
      <c r="A34" s="12" t="s">
        <v>33</v>
      </c>
      <c r="B34" s="12">
        <v>38592</v>
      </c>
    </row>
    <row r="35" spans="1:2" x14ac:dyDescent="0.35">
      <c r="A35" s="12" t="s">
        <v>34</v>
      </c>
      <c r="B35" s="12">
        <v>40022</v>
      </c>
    </row>
    <row r="36" spans="1:2" x14ac:dyDescent="0.35">
      <c r="A36" s="12" t="s">
        <v>35</v>
      </c>
      <c r="B36" s="12">
        <v>39262</v>
      </c>
    </row>
    <row r="37" spans="1:2" x14ac:dyDescent="0.35">
      <c r="A37" s="12" t="s">
        <v>36</v>
      </c>
      <c r="B37" s="12">
        <v>41921</v>
      </c>
    </row>
    <row r="38" spans="1:2" x14ac:dyDescent="0.35">
      <c r="A38" s="12" t="s">
        <v>37</v>
      </c>
      <c r="B38" s="12">
        <v>39231</v>
      </c>
    </row>
    <row r="39" spans="1:2" x14ac:dyDescent="0.35">
      <c r="A39" s="12" t="s">
        <v>38</v>
      </c>
      <c r="B39" s="12">
        <v>39994</v>
      </c>
    </row>
    <row r="40" spans="1:2" x14ac:dyDescent="0.35">
      <c r="A40" s="12" t="s">
        <v>39</v>
      </c>
      <c r="B40" s="12">
        <v>40164</v>
      </c>
    </row>
    <row r="41" spans="1:2" x14ac:dyDescent="0.35">
      <c r="A41" s="12" t="s">
        <v>40</v>
      </c>
      <c r="B41" s="12">
        <v>35976</v>
      </c>
    </row>
    <row r="42" spans="1:2" x14ac:dyDescent="0.35">
      <c r="A42" s="12" t="s">
        <v>41</v>
      </c>
      <c r="B42" s="12">
        <v>39127</v>
      </c>
    </row>
    <row r="43" spans="1:2" x14ac:dyDescent="0.35">
      <c r="A43" s="12" t="s">
        <v>26</v>
      </c>
      <c r="B43" s="12">
        <v>37582</v>
      </c>
    </row>
    <row r="44" spans="1:2" x14ac:dyDescent="0.35">
      <c r="A44" s="12" t="s">
        <v>42</v>
      </c>
      <c r="B44" s="12">
        <v>36882</v>
      </c>
    </row>
    <row r="45" spans="1:2" x14ac:dyDescent="0.35">
      <c r="A45" s="12" t="s">
        <v>43</v>
      </c>
      <c r="B45" s="12">
        <v>35896</v>
      </c>
    </row>
    <row r="46" spans="1:2" x14ac:dyDescent="0.35">
      <c r="A46" s="12" t="s">
        <v>44</v>
      </c>
      <c r="B46" s="12">
        <v>40342</v>
      </c>
    </row>
    <row r="47" spans="1:2" x14ac:dyDescent="0.35">
      <c r="A47" s="12" t="s">
        <v>45</v>
      </c>
      <c r="B47" s="12">
        <v>36925</v>
      </c>
    </row>
    <row r="48" spans="1:2" x14ac:dyDescent="0.35">
      <c r="A48" s="12" t="s">
        <v>46</v>
      </c>
      <c r="B48" s="12">
        <v>36578</v>
      </c>
    </row>
    <row r="49" spans="1:2" x14ac:dyDescent="0.35">
      <c r="A49" s="12" t="s">
        <v>47</v>
      </c>
      <c r="B49" s="12">
        <v>37390</v>
      </c>
    </row>
    <row r="50" spans="1:2" x14ac:dyDescent="0.35">
      <c r="A50" s="12" t="s">
        <v>48</v>
      </c>
      <c r="B50" s="12">
        <v>42031</v>
      </c>
    </row>
    <row r="51" spans="1:2" x14ac:dyDescent="0.35">
      <c r="A51" s="12" t="s">
        <v>49</v>
      </c>
      <c r="B51" s="12">
        <v>35378</v>
      </c>
    </row>
    <row r="52" spans="1:2" x14ac:dyDescent="0.35">
      <c r="A52" s="12" t="s">
        <v>50</v>
      </c>
      <c r="B52" s="12">
        <v>36117</v>
      </c>
    </row>
    <row r="53" spans="1:2" x14ac:dyDescent="0.35">
      <c r="A53" s="12" t="s">
        <v>51</v>
      </c>
      <c r="B53" s="12">
        <v>41393</v>
      </c>
    </row>
    <row r="54" spans="1:2" x14ac:dyDescent="0.35">
      <c r="A54" s="12" t="s">
        <v>52</v>
      </c>
      <c r="B54" s="12">
        <v>40348</v>
      </c>
    </row>
    <row r="55" spans="1:2" x14ac:dyDescent="0.35">
      <c r="A55" s="12" t="s">
        <v>53</v>
      </c>
      <c r="B55" s="12">
        <v>41022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B5"/>
  <sheetViews>
    <sheetView workbookViewId="0">
      <selection activeCell="H11" sqref="H11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 t="e">
        <v>#VALUE!</v>
      </c>
      <c r="B2" t="e">
        <v>#VALUE!</v>
      </c>
    </row>
    <row r="3" spans="1:2" x14ac:dyDescent="0.35">
      <c r="A3" t="e">
        <v>#REF!</v>
      </c>
      <c r="B3" t="e">
        <v>#REF!</v>
      </c>
    </row>
    <row r="4" spans="1:2" x14ac:dyDescent="0.35">
      <c r="A4" t="e">
        <v>#DIV/0!</v>
      </c>
      <c r="B4" t="e">
        <v>#DIV/0!</v>
      </c>
    </row>
    <row r="5" spans="1:2" x14ac:dyDescent="0.35">
      <c r="A5" t="e">
        <v>#NAME?</v>
      </c>
      <c r="B5" t="e"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Assignment 1</vt:lpstr>
      <vt:lpstr>Assignment 2</vt:lpstr>
      <vt:lpstr>Assignment 3</vt:lpstr>
      <vt:lpstr>Employees</vt:lpstr>
      <vt:lpstr>AnswerOptions</vt:lpstr>
      <vt:lpstr>IF_function</vt:lpstr>
      <vt:lpstr>Item</vt:lpstr>
      <vt:lpstr>OrderNo.</vt:lpstr>
      <vt:lpstr>OrderPrice</vt:lpstr>
      <vt:lpstr>SalesRep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Aarti Sharma</cp:lastModifiedBy>
  <dcterms:created xsi:type="dcterms:W3CDTF">2015-06-05T18:19:34Z</dcterms:created>
  <dcterms:modified xsi:type="dcterms:W3CDTF">2025-01-31T18:42:04Z</dcterms:modified>
</cp:coreProperties>
</file>