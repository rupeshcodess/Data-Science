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comp\Downloads\"/>
    </mc:Choice>
  </mc:AlternateContent>
  <xr:revisionPtr revIDLastSave="0" documentId="13_ncr:1_{BCEC3202-EBBC-4949-847A-6B6882DED8B9}" xr6:coauthVersionLast="36" xr6:coauthVersionMax="36" xr10:uidLastSave="{00000000-0000-0000-0000-000000000000}"/>
  <bookViews>
    <workbookView xWindow="0" yWindow="0" windowWidth="14010" windowHeight="6855" firstSheet="3" activeTab="5" xr2:uid="{00000000-000D-0000-FFFF-FFFF00000000}"/>
  </bookViews>
  <sheets>
    <sheet name="Table of Content" sheetId="13" r:id="rId1"/>
    <sheet name="Arithmetic Operators" sheetId="14" r:id="rId2"/>
    <sheet name="Sheet2" sheetId="16" r:id="rId3"/>
    <sheet name="Text Function" sheetId="10" r:id="rId4"/>
    <sheet name="Date and time" sheetId="11" r:id="rId5"/>
    <sheet name="VLOOKUP" sheetId="1" r:id="rId6"/>
    <sheet name="VLOOKUP 2" sheetId="2" r:id="rId7"/>
    <sheet name="HLOOKUP" sheetId="3" r:id="rId8"/>
    <sheet name="INDEX AND MATCH" sheetId="4" r:id="rId9"/>
    <sheet name="LOGICAL FUNCTION 1" sheetId="6" r:id="rId10"/>
    <sheet name="LOGICAL FUNCTION 2" sheetId="5" r:id="rId11"/>
    <sheet name="Financial Function 1" sheetId="7" r:id="rId12"/>
    <sheet name="Financial Function 2" sheetId="8" r:id="rId13"/>
    <sheet name="Financial Function 3" sheetId="9" r:id="rId14"/>
    <sheet name="solver" sheetId="12" r:id="rId15"/>
  </sheets>
  <externalReferences>
    <externalReference r:id="rId16"/>
  </externalReferences>
  <definedNames>
    <definedName name="PRODUCT">VLOOKUP!$A$3:$E$22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I23" i="1"/>
  <c r="J23" i="1"/>
  <c r="K23" i="1"/>
  <c r="H12" i="1"/>
  <c r="I12" i="1"/>
  <c r="J12" i="1"/>
  <c r="K12" i="1"/>
  <c r="H13" i="1"/>
  <c r="I13" i="1"/>
  <c r="J13" i="1"/>
  <c r="K13" i="1"/>
  <c r="E22" i="9"/>
  <c r="H22" i="9"/>
  <c r="E23" i="9" s="1"/>
  <c r="G22" i="9"/>
  <c r="G21" i="9"/>
  <c r="F2" i="9" l="1"/>
  <c r="G2" i="9" s="1"/>
  <c r="B14" i="2"/>
  <c r="G23" i="9" l="1"/>
  <c r="H23" i="9" s="1"/>
  <c r="E24" i="9" s="1"/>
  <c r="C14" i="2"/>
  <c r="D14" i="2"/>
  <c r="E14" i="2"/>
  <c r="E5" i="2"/>
  <c r="D5" i="2"/>
  <c r="C5" i="2"/>
  <c r="B5" i="2"/>
  <c r="H6" i="1"/>
  <c r="C25" i="4" l="1"/>
  <c r="D25" i="4"/>
  <c r="E25" i="4"/>
  <c r="F25" i="4" s="1"/>
  <c r="B25" i="4"/>
  <c r="B16" i="4"/>
  <c r="A58" i="11" l="1"/>
  <c r="A57" i="11"/>
  <c r="A56" i="11"/>
  <c r="A55" i="11"/>
  <c r="C41" i="4" l="1"/>
  <c r="I17" i="1"/>
  <c r="J17" i="1"/>
  <c r="K17" i="1"/>
  <c r="H17" i="1"/>
  <c r="C17" i="10" l="1"/>
  <c r="B21" i="10"/>
  <c r="B22" i="10"/>
  <c r="B23" i="10"/>
  <c r="B24" i="10"/>
  <c r="B20" i="10"/>
  <c r="G9" i="10"/>
  <c r="G10" i="10"/>
  <c r="G11" i="10"/>
  <c r="G8" i="10"/>
  <c r="G4" i="10"/>
  <c r="G5" i="10"/>
  <c r="G6" i="10"/>
  <c r="G3" i="10"/>
  <c r="C5" i="10"/>
  <c r="G6" i="8" l="1"/>
  <c r="H8" i="8"/>
  <c r="H7" i="8"/>
  <c r="J11" i="5" l="1"/>
  <c r="J7" i="5"/>
  <c r="J3" i="5"/>
  <c r="F11" i="5"/>
  <c r="F7" i="5"/>
  <c r="F3" i="5"/>
  <c r="F17" i="6"/>
  <c r="F18" i="6"/>
  <c r="F19" i="6"/>
  <c r="F20" i="6"/>
  <c r="F21" i="6"/>
  <c r="F22" i="6"/>
  <c r="F23" i="6"/>
  <c r="F24" i="6"/>
  <c r="F25" i="6"/>
  <c r="F16" i="6"/>
  <c r="E17" i="6"/>
  <c r="E18" i="6"/>
  <c r="E19" i="6"/>
  <c r="E20" i="6"/>
  <c r="E21" i="6"/>
  <c r="E22" i="6"/>
  <c r="E23" i="6"/>
  <c r="E24" i="6"/>
  <c r="E25" i="6"/>
  <c r="E16" i="6"/>
  <c r="E6" i="6"/>
  <c r="E10" i="6"/>
  <c r="D4" i="6"/>
  <c r="D5" i="6"/>
  <c r="D6" i="6"/>
  <c r="D7" i="6"/>
  <c r="D8" i="6"/>
  <c r="D9" i="6"/>
  <c r="D10" i="6"/>
  <c r="D11" i="6"/>
  <c r="D12" i="6"/>
  <c r="D3" i="6"/>
  <c r="C3" i="6"/>
  <c r="E3" i="6" s="1"/>
  <c r="C4" i="6"/>
  <c r="E4" i="6" s="1"/>
  <c r="C5" i="6"/>
  <c r="E5" i="6" s="1"/>
  <c r="C6" i="6"/>
  <c r="C7" i="6"/>
  <c r="E7" i="6" s="1"/>
  <c r="C8" i="6"/>
  <c r="E8" i="6" s="1"/>
  <c r="C9" i="6"/>
  <c r="E9" i="6" s="1"/>
  <c r="C10" i="6"/>
  <c r="C11" i="6"/>
  <c r="E11" i="6" s="1"/>
  <c r="C12" i="6"/>
  <c r="E12" i="6" s="1"/>
  <c r="K3" i="16" l="1"/>
  <c r="K4" i="16"/>
  <c r="K5" i="16"/>
  <c r="K6" i="16"/>
  <c r="K7" i="16"/>
  <c r="K8" i="16"/>
  <c r="J3" i="16"/>
  <c r="J4" i="16"/>
  <c r="J5" i="16"/>
  <c r="J6" i="16"/>
  <c r="J7" i="16"/>
  <c r="J8" i="16"/>
  <c r="K2" i="16"/>
  <c r="J2" i="16"/>
  <c r="I3" i="16"/>
  <c r="I4" i="16"/>
  <c r="I5" i="16"/>
  <c r="I6" i="16"/>
  <c r="I7" i="16"/>
  <c r="I8" i="16"/>
  <c r="I2" i="16"/>
  <c r="H3" i="16"/>
  <c r="H4" i="16"/>
  <c r="H5" i="16"/>
  <c r="H6" i="16"/>
  <c r="H7" i="16"/>
  <c r="H8" i="16"/>
  <c r="H2" i="16"/>
  <c r="E16" i="14"/>
  <c r="D13" i="14"/>
  <c r="E13" i="14" s="1"/>
  <c r="D14" i="14"/>
  <c r="E14" i="14" s="1"/>
  <c r="D15" i="14"/>
  <c r="E15" i="14" s="1"/>
  <c r="F15" i="14" s="1"/>
  <c r="D16" i="14"/>
  <c r="F16" i="14" s="1"/>
  <c r="D17" i="14"/>
  <c r="E17" i="14" s="1"/>
  <c r="D18" i="14"/>
  <c r="E18" i="14" s="1"/>
  <c r="D12" i="14"/>
  <c r="E12" i="14" s="1"/>
  <c r="F12" i="14" s="1"/>
  <c r="E8" i="14"/>
  <c r="G8" i="14"/>
  <c r="E7" i="14"/>
  <c r="E6" i="14"/>
  <c r="E5" i="14"/>
  <c r="E4" i="14"/>
  <c r="E3" i="14"/>
  <c r="G15" i="14" l="1"/>
  <c r="H15" i="14" s="1"/>
  <c r="G12" i="14"/>
  <c r="H12" i="14"/>
  <c r="G16" i="14"/>
  <c r="H16" i="14" s="1"/>
  <c r="F18" i="14"/>
  <c r="F14" i="14"/>
  <c r="F17" i="14"/>
  <c r="F13" i="14"/>
  <c r="B24" i="4"/>
  <c r="C24" i="4" s="1"/>
  <c r="D24" i="4" s="1"/>
  <c r="E24" i="4" s="1"/>
  <c r="F24" i="4" s="1"/>
  <c r="B20" i="4"/>
  <c r="C16" i="4"/>
  <c r="E12" i="3"/>
  <c r="E13" i="3"/>
  <c r="E14" i="3"/>
  <c r="E11" i="3"/>
  <c r="B12" i="3"/>
  <c r="B13" i="3" s="1"/>
  <c r="B14" i="3" s="1"/>
  <c r="B11" i="3"/>
  <c r="I6" i="1"/>
  <c r="J6" i="1"/>
  <c r="K6" i="1"/>
  <c r="H7" i="1"/>
  <c r="I7" i="1" s="1"/>
  <c r="J7" i="1" s="1"/>
  <c r="K7" i="1" s="1"/>
  <c r="G14" i="14" l="1"/>
  <c r="H14" i="14" s="1"/>
  <c r="G18" i="14"/>
  <c r="H18" i="14" s="1"/>
  <c r="G13" i="14"/>
  <c r="H13" i="14" s="1"/>
  <c r="G17" i="14"/>
  <c r="H17" i="14" s="1"/>
  <c r="B77" i="11"/>
  <c r="B79" i="11" s="1"/>
  <c r="D75" i="11"/>
  <c r="E75" i="11" s="1"/>
  <c r="D74" i="11"/>
  <c r="E74" i="11" s="1"/>
  <c r="D73" i="11"/>
  <c r="E73" i="11" s="1"/>
  <c r="D72" i="11"/>
  <c r="E72" i="11" s="1"/>
  <c r="D71" i="11"/>
  <c r="E71" i="11" s="1"/>
  <c r="B71" i="11"/>
  <c r="B72" i="11" s="1"/>
  <c r="D70" i="11"/>
  <c r="E70" i="11" s="1"/>
  <c r="D66" i="11"/>
  <c r="E66" i="11" s="1"/>
  <c r="D65" i="11"/>
  <c r="E65" i="11" s="1"/>
  <c r="D64" i="11"/>
  <c r="E64" i="11" s="1"/>
  <c r="B64" i="11"/>
  <c r="B66" i="11" s="1"/>
  <c r="C58" i="11"/>
  <c r="C57" i="11"/>
  <c r="C56" i="11"/>
  <c r="C55" i="11"/>
  <c r="A52" i="11"/>
  <c r="A47" i="11"/>
  <c r="A46" i="11"/>
  <c r="A45" i="11"/>
  <c r="A44" i="11"/>
  <c r="A43" i="11"/>
  <c r="B40" i="11"/>
  <c r="A40" i="11"/>
  <c r="B26" i="11"/>
  <c r="B25" i="11"/>
  <c r="F12" i="11"/>
  <c r="B12" i="11"/>
  <c r="B21" i="11" s="1"/>
  <c r="F11" i="11"/>
  <c r="B11" i="11"/>
  <c r="B17" i="11" s="1"/>
  <c r="C16" i="10"/>
  <c r="C15" i="10"/>
  <c r="C14" i="10"/>
  <c r="C13" i="10"/>
  <c r="C12" i="10"/>
  <c r="C11" i="10"/>
  <c r="C10" i="10"/>
  <c r="C9" i="10"/>
  <c r="C8" i="10"/>
  <c r="C7" i="10"/>
  <c r="C6" i="10"/>
  <c r="C4" i="10"/>
  <c r="C3" i="10"/>
  <c r="C2" i="10"/>
  <c r="G20" i="9"/>
  <c r="H20" i="9" s="1"/>
  <c r="E21" i="9" s="1"/>
  <c r="F17" i="9"/>
  <c r="F11" i="9"/>
  <c r="E11" i="9"/>
  <c r="G11" i="9" s="1"/>
  <c r="F10" i="9"/>
  <c r="E10" i="9"/>
  <c r="G10" i="9" s="1"/>
  <c r="F9" i="9"/>
  <c r="E9" i="9"/>
  <c r="G9" i="9" s="1"/>
  <c r="F8" i="9"/>
  <c r="E8" i="9"/>
  <c r="G8" i="9" s="1"/>
  <c r="F7" i="9"/>
  <c r="E7" i="9"/>
  <c r="G7" i="9" s="1"/>
  <c r="F6" i="9"/>
  <c r="E6" i="9"/>
  <c r="G6" i="9" s="1"/>
  <c r="F5" i="9"/>
  <c r="E5" i="9"/>
  <c r="G5" i="9" s="1"/>
  <c r="F4" i="9"/>
  <c r="E4" i="9"/>
  <c r="G4" i="9" s="1"/>
  <c r="F3" i="9"/>
  <c r="E3" i="9"/>
  <c r="G3" i="9" s="1"/>
  <c r="H2" i="9"/>
  <c r="H3" i="9" s="1"/>
  <c r="H4" i="9" s="1"/>
  <c r="H5" i="9" s="1"/>
  <c r="H6" i="9" s="1"/>
  <c r="H7" i="9" s="1"/>
  <c r="H8" i="9" s="1"/>
  <c r="H9" i="9" s="1"/>
  <c r="H10" i="9" s="1"/>
  <c r="H11" i="9" s="1"/>
  <c r="E2" i="9"/>
  <c r="B36" i="9"/>
  <c r="B37" i="9" s="1"/>
  <c r="B27" i="9"/>
  <c r="B28" i="9" s="1"/>
  <c r="B20" i="9"/>
  <c r="B12" i="9"/>
  <c r="B5" i="9"/>
  <c r="D22" i="8"/>
  <c r="D18" i="8"/>
  <c r="D14" i="8"/>
  <c r="D10" i="8"/>
  <c r="D6" i="8"/>
  <c r="D22" i="7"/>
  <c r="D18" i="7"/>
  <c r="D14" i="7"/>
  <c r="D10" i="7"/>
  <c r="D6" i="7"/>
  <c r="A41" i="4"/>
  <c r="D46" i="11" l="1"/>
  <c r="D57" i="11"/>
  <c r="F34" i="11"/>
  <c r="F35" i="11"/>
  <c r="F29" i="11"/>
  <c r="F30" i="11"/>
  <c r="B35" i="11"/>
  <c r="F28" i="11"/>
  <c r="B16" i="11"/>
  <c r="B20" i="11"/>
  <c r="D40" i="11"/>
  <c r="B22" i="11"/>
  <c r="B78" i="11"/>
  <c r="B65" i="11"/>
  <c r="B34" i="11"/>
  <c r="B29" i="11"/>
  <c r="B33" i="11"/>
  <c r="D41" i="11"/>
  <c r="D45" i="11"/>
  <c r="D53" i="11"/>
  <c r="D58" i="11"/>
  <c r="B73" i="11"/>
  <c r="B15" i="11"/>
  <c r="B28" i="11"/>
  <c r="B30" i="11"/>
  <c r="D52" i="11"/>
  <c r="H21" i="9"/>
  <c r="G24" i="9" l="1"/>
  <c r="H24" i="9" s="1"/>
  <c r="E25" i="9" s="1"/>
  <c r="G25" i="9" l="1"/>
  <c r="H25" i="9" s="1"/>
  <c r="E26" i="9" s="1"/>
  <c r="G26" i="9" l="1"/>
  <c r="H26" i="9" s="1"/>
  <c r="E27" i="9" s="1"/>
  <c r="G27" i="9" l="1"/>
  <c r="H27" i="9" s="1"/>
  <c r="E28" i="9" s="1"/>
  <c r="G28" i="9" l="1"/>
  <c r="H28" i="9" s="1"/>
  <c r="E29" i="9" s="1"/>
  <c r="G29" i="9" l="1"/>
  <c r="H29" i="9" s="1"/>
  <c r="E30" i="9" s="1"/>
  <c r="G30" i="9" l="1"/>
  <c r="H30" i="9" s="1"/>
  <c r="E31" i="9" s="1"/>
  <c r="G31" i="9" l="1"/>
  <c r="H31" i="9" s="1"/>
  <c r="E32" i="9" s="1"/>
  <c r="G32" i="9" l="1"/>
  <c r="H32" i="9" s="1"/>
  <c r="E33" i="9" s="1"/>
  <c r="G33" i="9" l="1"/>
  <c r="H33" i="9" s="1"/>
  <c r="E34" i="9" s="1"/>
  <c r="G34" i="9" l="1"/>
  <c r="H34" i="9" s="1"/>
  <c r="E35" i="9" s="1"/>
  <c r="G35" i="9" l="1"/>
  <c r="H35" i="9" s="1"/>
  <c r="E36" i="9" s="1"/>
  <c r="G36" i="9" l="1"/>
  <c r="H36" i="9" s="1"/>
  <c r="E37" i="9" s="1"/>
  <c r="G37" i="9" l="1"/>
  <c r="H37" i="9" s="1"/>
</calcChain>
</file>

<file path=xl/sharedStrings.xml><?xml version="1.0" encoding="utf-8"?>
<sst xmlns="http://schemas.openxmlformats.org/spreadsheetml/2006/main" count="631" uniqueCount="366">
  <si>
    <t>VLOOKUP FORMULA</t>
  </si>
  <si>
    <t>HSN CODE</t>
  </si>
  <si>
    <t>PRODUCT</t>
  </si>
  <si>
    <t>QTY</t>
  </si>
  <si>
    <t>PRICE</t>
  </si>
  <si>
    <t>GST RATE</t>
  </si>
  <si>
    <t>VLOOKUP EXAMPLE 1 (Normal Vlookup)</t>
  </si>
  <si>
    <t>BACKET</t>
  </si>
  <si>
    <t>BAG</t>
  </si>
  <si>
    <t>BREAD</t>
  </si>
  <si>
    <t>BUTTER</t>
  </si>
  <si>
    <t>CHEESE</t>
  </si>
  <si>
    <t>CURD</t>
  </si>
  <si>
    <t>EGG</t>
  </si>
  <si>
    <t>FRIDGE</t>
  </si>
  <si>
    <t>GHEE</t>
  </si>
  <si>
    <t>IRON</t>
  </si>
  <si>
    <t>MICROWAVE</t>
  </si>
  <si>
    <t>MILK</t>
  </si>
  <si>
    <t>PEN</t>
  </si>
  <si>
    <t>PENCIL</t>
  </si>
  <si>
    <t>SHEMPOO</t>
  </si>
  <si>
    <t>SOAP</t>
  </si>
  <si>
    <t>SURF</t>
  </si>
  <si>
    <t>TELEVISION</t>
  </si>
  <si>
    <t>TUBLER</t>
  </si>
  <si>
    <r>
      <rPr>
        <b/>
        <sz val="11"/>
        <color theme="0"/>
        <rFont val="Calibri"/>
        <family val="2"/>
        <scheme val="minor"/>
      </rPr>
      <t>VLOOKUP EXAMPLE 5</t>
    </r>
    <r>
      <rPr>
        <sz val="11"/>
        <color theme="0"/>
        <rFont val="Calibri"/>
        <family val="2"/>
        <scheme val="minor"/>
      </rPr>
      <t xml:space="preserve"> (</t>
    </r>
    <r>
      <rPr>
        <b/>
        <sz val="11"/>
        <color theme="0"/>
        <rFont val="Calibri"/>
        <family val="2"/>
        <scheme val="minor"/>
      </rPr>
      <t>Different sheet</t>
    </r>
    <r>
      <rPr>
        <sz val="11"/>
        <color theme="0"/>
        <rFont val="Calibri"/>
        <family val="2"/>
        <scheme val="minor"/>
      </rPr>
      <t>)</t>
    </r>
  </si>
  <si>
    <r>
      <rPr>
        <b/>
        <sz val="11"/>
        <color theme="0"/>
        <rFont val="Calibri"/>
        <family val="2"/>
        <scheme val="minor"/>
      </rPr>
      <t>VLOOKUP EXAMPLE 5</t>
    </r>
    <r>
      <rPr>
        <sz val="11"/>
        <color theme="0"/>
        <rFont val="Calibri"/>
        <family val="2"/>
        <scheme val="minor"/>
      </rPr>
      <t xml:space="preserve"> (</t>
    </r>
    <r>
      <rPr>
        <b/>
        <sz val="11"/>
        <color theme="0"/>
        <rFont val="Calibri"/>
        <family val="2"/>
        <scheme val="minor"/>
      </rPr>
      <t>Different Workbook</t>
    </r>
    <r>
      <rPr>
        <sz val="11"/>
        <color theme="0"/>
        <rFont val="Calibri"/>
        <family val="2"/>
        <scheme val="minor"/>
      </rPr>
      <t>)</t>
    </r>
  </si>
  <si>
    <t>HLOOKUP FORMULA</t>
  </si>
  <si>
    <t>NORMAL HLOOKUP</t>
  </si>
  <si>
    <t xml:space="preserve"> HLOOKUP (Multiple Values  At  Once)</t>
  </si>
  <si>
    <t>INDEX AND MATCH</t>
  </si>
  <si>
    <t>MODEL NO.</t>
  </si>
  <si>
    <t>PARTY NAME</t>
  </si>
  <si>
    <t>ITEM NAME</t>
  </si>
  <si>
    <t>QUANTITY</t>
  </si>
  <si>
    <t>RATE</t>
  </si>
  <si>
    <t>AMOUNT</t>
  </si>
  <si>
    <t>G101</t>
  </si>
  <si>
    <t>AMBEY AGENCY</t>
  </si>
  <si>
    <t>GAS STOVE</t>
  </si>
  <si>
    <t>C101</t>
  </si>
  <si>
    <t>BGS ENTERPRISES</t>
  </si>
  <si>
    <t>COOKER</t>
  </si>
  <si>
    <t>L101</t>
  </si>
  <si>
    <t>RAMA AGENCY</t>
  </si>
  <si>
    <t>LIGHTER</t>
  </si>
  <si>
    <t>S101</t>
  </si>
  <si>
    <t>BHOLE ENTERPRISES</t>
  </si>
  <si>
    <t>SLICER</t>
  </si>
  <si>
    <t>J101</t>
  </si>
  <si>
    <t>ARUNA &amp; CO.</t>
  </si>
  <si>
    <t>JUICER</t>
  </si>
  <si>
    <t>M101</t>
  </si>
  <si>
    <t>MANOJ ENTERPRISES</t>
  </si>
  <si>
    <t>MIXER</t>
  </si>
  <si>
    <t>H101</t>
  </si>
  <si>
    <t>RAMA ENTERPRISES</t>
  </si>
  <si>
    <t>HOSE PIPE</t>
  </si>
  <si>
    <t>INDEX AND MATCH EXAMPLE 1</t>
  </si>
  <si>
    <t>INDEX FUNCTION</t>
  </si>
  <si>
    <t>MATCH  FUNCTION</t>
  </si>
  <si>
    <t>ROWS POSITION</t>
  </si>
  <si>
    <t>SELLING PRICE</t>
  </si>
  <si>
    <t>ITEM NAME | QTY | SELLING PRICE</t>
  </si>
  <si>
    <t>INDEX AND MATCH EXAMPLE 2</t>
  </si>
  <si>
    <t xml:space="preserve">INDEX AND MATCH TOGETHER </t>
  </si>
  <si>
    <t>REGION</t>
  </si>
  <si>
    <t>SALES</t>
  </si>
  <si>
    <t>COUNTIF</t>
  </si>
  <si>
    <t>COUNTIFS</t>
  </si>
  <si>
    <t>NOKIA</t>
  </si>
  <si>
    <t>NORTH</t>
  </si>
  <si>
    <t>RESULT</t>
  </si>
  <si>
    <t>VIVO</t>
  </si>
  <si>
    <t>EAST</t>
  </si>
  <si>
    <t>OPPO</t>
  </si>
  <si>
    <t>SOUTH</t>
  </si>
  <si>
    <t>WEST</t>
  </si>
  <si>
    <t>SUMIF</t>
  </si>
  <si>
    <t>SUMIFS</t>
  </si>
  <si>
    <t>CENTRAL</t>
  </si>
  <si>
    <t>AVERAGEIF</t>
  </si>
  <si>
    <t>AVERAGEIFS</t>
  </si>
  <si>
    <t>NAME</t>
  </si>
  <si>
    <t>SCORE</t>
  </si>
  <si>
    <t>GRADE</t>
  </si>
  <si>
    <t>REMARK</t>
  </si>
  <si>
    <t>TERRY</t>
  </si>
  <si>
    <t>ANDY</t>
  </si>
  <si>
    <t>JOE</t>
  </si>
  <si>
    <t>KIM</t>
  </si>
  <si>
    <t>GHEESE</t>
  </si>
  <si>
    <t>RYO</t>
  </si>
  <si>
    <t>KEN</t>
  </si>
  <si>
    <t>RALF</t>
  </si>
  <si>
    <t>CLARK</t>
  </si>
  <si>
    <t>KING</t>
  </si>
  <si>
    <t>IF EXAMPLE 1</t>
  </si>
  <si>
    <t>Test 1</t>
  </si>
  <si>
    <t>Test 2</t>
  </si>
  <si>
    <t>Test 3</t>
  </si>
  <si>
    <t>Result (and)</t>
  </si>
  <si>
    <t>Result (or)</t>
  </si>
  <si>
    <t>Simple Interest = (Principal Amount * Rate * Time / 100)</t>
  </si>
  <si>
    <t>YEARLY</t>
  </si>
  <si>
    <t>Principal</t>
  </si>
  <si>
    <t>Rate</t>
  </si>
  <si>
    <t>Time</t>
  </si>
  <si>
    <t>Simple Interest</t>
  </si>
  <si>
    <t>HALF YEARLY</t>
  </si>
  <si>
    <t xml:space="preserve">Time </t>
  </si>
  <si>
    <t>Monthly</t>
  </si>
  <si>
    <t xml:space="preserve"> </t>
  </si>
  <si>
    <t xml:space="preserve"> Quarterly</t>
  </si>
  <si>
    <t xml:space="preserve">Rate </t>
  </si>
  <si>
    <t>DAILY</t>
  </si>
  <si>
    <t>Compound Interest</t>
  </si>
  <si>
    <r>
      <t>Compound Interest = Principal*(1+  Rate/100)</t>
    </r>
    <r>
      <rPr>
        <b/>
        <vertAlign val="superscript"/>
        <sz val="15"/>
        <color theme="0"/>
        <rFont val="Calibri"/>
        <family val="2"/>
        <scheme val="minor"/>
      </rPr>
      <t>N</t>
    </r>
  </si>
  <si>
    <t>PMT (MONTHLY)</t>
  </si>
  <si>
    <t>LOAN AMOUNT</t>
  </si>
  <si>
    <t>RATE OF INTEREST</t>
  </si>
  <si>
    <t>NPER (MONTH)</t>
  </si>
  <si>
    <t>PMT</t>
  </si>
  <si>
    <t>PMT (YEARLY)</t>
  </si>
  <si>
    <t>NPER (YEARS)</t>
  </si>
  <si>
    <t>PRESENT VALUE ( PV )</t>
  </si>
  <si>
    <t>Monthly investment</t>
  </si>
  <si>
    <t>No. of Years</t>
  </si>
  <si>
    <t>Payment per  Year</t>
  </si>
  <si>
    <t>Interest Rate</t>
  </si>
  <si>
    <t>PV</t>
  </si>
  <si>
    <t>NPER  (NUMBER OF PERIOD)</t>
  </si>
  <si>
    <t>Loan Amount (PV)</t>
  </si>
  <si>
    <t>Interest Rate (Yearly)</t>
  </si>
  <si>
    <t>Monthly Payment</t>
  </si>
  <si>
    <t>NPER (Months)</t>
  </si>
  <si>
    <t>NPER (Years)</t>
  </si>
  <si>
    <t>PRESENT VALUE ( RATE OF INTEREST )</t>
  </si>
  <si>
    <t>Total amount of Loan</t>
  </si>
  <si>
    <t>Monthly Installment</t>
  </si>
  <si>
    <t>Number of Years</t>
  </si>
  <si>
    <t>Total Number of Inatallment</t>
  </si>
  <si>
    <t>MONTHLY INSTEREST RATE</t>
  </si>
  <si>
    <t>YEARLY INTEREST RATE</t>
  </si>
  <si>
    <t>PERIOD</t>
  </si>
  <si>
    <t>IPMT</t>
  </si>
  <si>
    <t>PPMT</t>
  </si>
  <si>
    <t>BALANCE</t>
  </si>
  <si>
    <t>FV (FUTURE VALUE)</t>
  </si>
  <si>
    <t>RD</t>
  </si>
  <si>
    <t>MONTHS</t>
  </si>
  <si>
    <t>FV</t>
  </si>
  <si>
    <t>Opening  Balance</t>
  </si>
  <si>
    <t>DEPOSIT</t>
  </si>
  <si>
    <t>INTEREST</t>
  </si>
  <si>
    <t>NET AMOUNT</t>
  </si>
  <si>
    <t>Financial</t>
  </si>
  <si>
    <t>TEXT FUNCTION</t>
  </si>
  <si>
    <t>UPPER</t>
  </si>
  <si>
    <t>keerti</t>
  </si>
  <si>
    <t>LOWER</t>
  </si>
  <si>
    <t>KEERTI</t>
  </si>
  <si>
    <t>PROPER</t>
  </si>
  <si>
    <t>LEFT</t>
  </si>
  <si>
    <t>VAISHNAVI</t>
  </si>
  <si>
    <t>RIGHT</t>
  </si>
  <si>
    <t>MID</t>
  </si>
  <si>
    <t>SUBSTITUTE</t>
  </si>
  <si>
    <t>VAISHANVI SHIGVAN</t>
  </si>
  <si>
    <t>REPLACE</t>
  </si>
  <si>
    <t>CONCATENATE</t>
  </si>
  <si>
    <t>AMIT</t>
  </si>
  <si>
    <t>SHIGVAN</t>
  </si>
  <si>
    <t>SEARCH</t>
  </si>
  <si>
    <t>RAJKUMAR</t>
  </si>
  <si>
    <t>FIND</t>
  </si>
  <si>
    <t>LEN</t>
  </si>
  <si>
    <t>TRIM</t>
  </si>
  <si>
    <t>RAJ     KUMAR</t>
  </si>
  <si>
    <t>JOIN STRINGS</t>
  </si>
  <si>
    <t>RAJ</t>
  </si>
  <si>
    <t>KIRAN</t>
  </si>
  <si>
    <t>CURRENT DATE AND CURRENT DATE &amp; TIME FORMULA</t>
  </si>
  <si>
    <t>FUNCTION</t>
  </si>
  <si>
    <t>FORMULA</t>
  </si>
  <si>
    <t>TODAY</t>
  </si>
  <si>
    <t>=</t>
  </si>
  <si>
    <t>TODAY()</t>
  </si>
  <si>
    <t>NOW</t>
  </si>
  <si>
    <t>NOW()</t>
  </si>
  <si>
    <t>DATE , TIME , DAY ,MONTH , YEAR</t>
  </si>
  <si>
    <t>DATE</t>
  </si>
  <si>
    <t>DATE(YEAR,MONTH,DAY)</t>
  </si>
  <si>
    <t>TIME</t>
  </si>
  <si>
    <t>TIME(HOUR,MIN,SEC)</t>
  </si>
  <si>
    <t>DAY</t>
  </si>
  <si>
    <t>MONTH</t>
  </si>
  <si>
    <t>YEAR</t>
  </si>
  <si>
    <t>HOUR</t>
  </si>
  <si>
    <t>MINUTE</t>
  </si>
  <si>
    <t>SEC</t>
  </si>
  <si>
    <t>SECOND</t>
  </si>
  <si>
    <t>DATEDIF FORMULA</t>
  </si>
  <si>
    <t>BIRTH DATE</t>
  </si>
  <si>
    <t>TODAY DATE</t>
  </si>
  <si>
    <t>EXAMPLE 1</t>
  </si>
  <si>
    <t>DATEDIF(B21,B22,"y")</t>
  </si>
  <si>
    <t>DATEDIF(B21,B22,"m")</t>
  </si>
  <si>
    <t>DAYS</t>
  </si>
  <si>
    <t>DATEDIF(B21,B22,"d")</t>
  </si>
  <si>
    <t>EXAMPLE 2</t>
  </si>
  <si>
    <t>DATEDIF(B21,B22,"ym")</t>
  </si>
  <si>
    <t>DATEDIF(B21,B22,"md")</t>
  </si>
  <si>
    <t>NETWORKDAYS   &amp; NETWORKDAYS.INTL</t>
  </si>
  <si>
    <t>NETWORKDAYS</t>
  </si>
  <si>
    <t>START DATE</t>
  </si>
  <si>
    <t>END DATE</t>
  </si>
  <si>
    <t>WITHOUT HOLIDAY</t>
  </si>
  <si>
    <t>WITH HOLIDAY</t>
  </si>
  <si>
    <t>HOLIDAYS</t>
  </si>
  <si>
    <t>NETWORKDAYS.INTL</t>
  </si>
  <si>
    <t>WORKDAYS AND WORKDAYS.INTL</t>
  </si>
  <si>
    <t>WORKDAYS</t>
  </si>
  <si>
    <t>WORKDAYS.INTL</t>
  </si>
  <si>
    <t>SUNDAY</t>
  </si>
  <si>
    <t>ADD/SUBTRACT DAYS</t>
  </si>
  <si>
    <t>WEEKDAY</t>
  </si>
  <si>
    <t>MONDAY</t>
  </si>
  <si>
    <t>TUESDAY</t>
  </si>
  <si>
    <t>DATE + 5 DAYS</t>
  </si>
  <si>
    <t>WEDNESDAY</t>
  </si>
  <si>
    <t>DATE - 5 DAYS</t>
  </si>
  <si>
    <t>THURSDAY</t>
  </si>
  <si>
    <t>FRIDAY</t>
  </si>
  <si>
    <t>SATURDAY</t>
  </si>
  <si>
    <t>EDATE</t>
  </si>
  <si>
    <t>DATE + 5 MONTHS</t>
  </si>
  <si>
    <t>DATE - 5 MONTHS</t>
  </si>
  <si>
    <t>DATE + 5 YEARS</t>
  </si>
  <si>
    <t>DATE - 5 YEARS</t>
  </si>
  <si>
    <t>INDEX OF ADVANCE EXCEL</t>
  </si>
  <si>
    <t>SR.</t>
  </si>
  <si>
    <t>Arithmetic Operators</t>
  </si>
  <si>
    <t>(Addition,Subtraction,Multiplication,Division,Percentage,Exponential)</t>
  </si>
  <si>
    <t>TOPIC COVERED</t>
  </si>
  <si>
    <t>TABLE OF CONTENTS</t>
  </si>
  <si>
    <t>Logical function</t>
  </si>
  <si>
    <t>(IF, AND, OR, NOT, NESTED IF),(SUMIF,SUMIFS,AVERAGEIF,AVERAGEIFS,COUNTIF,COUNTIF),</t>
  </si>
  <si>
    <t>Basic Formula</t>
  </si>
  <si>
    <t>(SUM, AVERAGE, MAX, MIN, COUNT, COUNTA, COUNTBLANK)</t>
  </si>
  <si>
    <t>Database Function</t>
  </si>
  <si>
    <t>(DSUM, DAVERAGE,DMAX,DMIN,DCOUNT)</t>
  </si>
  <si>
    <t>VLOOKUP</t>
  </si>
  <si>
    <t>HLOOKUP</t>
  </si>
  <si>
    <t>(Find  horizontal data , copy Formula, multiple value at once)</t>
  </si>
  <si>
    <t>(Find of cells row and column wise,find row position with match,  use of index and match together,</t>
  </si>
  <si>
    <t>Text Function</t>
  </si>
  <si>
    <t>Date and Time</t>
  </si>
  <si>
    <t>(Find verticle data , copy Formula, multiple value at once, find different sheet and workbook data)</t>
  </si>
  <si>
    <t>(UPER,LOWER,PROPER,LEN,TRIM,LEFT,RIGHT,MID,SUBSTITUTE,CONCATENATE,REPLACE,FIND,SEARCH ,JOIN STRINGS)</t>
  </si>
  <si>
    <t>(TODAY, NOW, DATE, TIME,DATEDIF,NETWORKDAYS, WORKDAYS, EDATE ,ADD AND SUBTRACT DAY, MONTH , YEARS, WEEKDAY</t>
  </si>
  <si>
    <t>Financial Function</t>
  </si>
  <si>
    <t>(Simle &amp; Compound interest, PMT,IPMT,PPMT,PV,FV,NPV,IRR,DB)</t>
  </si>
  <si>
    <t>PIVOT TABLES</t>
  </si>
  <si>
    <t>(Creating Simple Pivot Tables,Basic and Advanced Value Field Setting,Grouping based on numbers and Dates,Calculated Field &amp; Calculated Items)</t>
  </si>
  <si>
    <t>(Various Charts i.e. Bar Charts / Pie Charts / Line Charts,Using SLICERS, Filter data with Slicers,Manage Primary and Secondary Axis)</t>
  </si>
  <si>
    <t>EXCEL DASHBOARD</t>
  </si>
  <si>
    <t>(Planning a Dashboard,Adding Tables and Charts to Dashboard,Adding Dynamic Contents to Dashboard)</t>
  </si>
  <si>
    <t>WHAT IF ANALYSIS</t>
  </si>
  <si>
    <t>(Goal Seek Scenario Analysis Data Tables (PMT Function) Solver Tool)</t>
  </si>
  <si>
    <t>DATA VALIDATION</t>
  </si>
  <si>
    <t>(Number, Date &amp; Time Validation,Text and List Validation,
Custom validations based on formula for a cell,Dynamic Dropdown List Creation using Data Validation – Dependency List</t>
  </si>
  <si>
    <t>CHARTS And Slicers</t>
  </si>
  <si>
    <t>Sorting and FILTERING</t>
  </si>
  <si>
    <t>(Filtering on Text, Numbers &amp; Colors,Sorting Options,Advanced Filters)</t>
  </si>
  <si>
    <t>Data Tools</t>
  </si>
  <si>
    <t>(text to column, flash fill, consolidate, group , ungroup, subtotal</t>
  </si>
  <si>
    <t>Macros</t>
  </si>
  <si>
    <t>Macro recording, macros with button, Macro with formula</t>
  </si>
  <si>
    <t>Assignment</t>
  </si>
  <si>
    <t>SOLVER</t>
  </si>
  <si>
    <t>(BASIC USES OF SOLVER)</t>
  </si>
  <si>
    <t>MARKSHEET,SALARYSHEET, LOAN  CALCULATION, MAKE INVOICE BILL, STOCK CALCULATION,GST CALCULATION, ETC</t>
  </si>
  <si>
    <t>Arithmetic operator</t>
  </si>
  <si>
    <t>Meaning</t>
  </si>
  <si>
    <t>Example</t>
  </si>
  <si>
    <t>Addition</t>
  </si>
  <si>
    <t>Subtraction</t>
  </si>
  <si>
    <t>Multiplication</t>
  </si>
  <si>
    <t>Division</t>
  </si>
  <si>
    <t>Percent</t>
  </si>
  <si>
    <t>5)        % (percent sign)</t>
  </si>
  <si>
    <t>4)        / (forward slash)</t>
  </si>
  <si>
    <t>3)        * (asterisk)</t>
  </si>
  <si>
    <t>2)        – (minus sign)</t>
  </si>
  <si>
    <t>1)        + (plus sign)</t>
  </si>
  <si>
    <t>6)         ^ (caret)</t>
  </si>
  <si>
    <t>PRODUCT NAME</t>
  </si>
  <si>
    <t>VALUE</t>
  </si>
  <si>
    <t>GST @12.5%</t>
  </si>
  <si>
    <t>TOTAL VALUE</t>
  </si>
  <si>
    <t>DISCOUNT</t>
  </si>
  <si>
    <t>TOTAL AMOUNT</t>
  </si>
  <si>
    <t>Push-pin</t>
  </si>
  <si>
    <t>Stapler</t>
  </si>
  <si>
    <t>Eraser</t>
  </si>
  <si>
    <t>Paper clip</t>
  </si>
  <si>
    <t>Rubber stamp</t>
  </si>
  <si>
    <t>Highlighter</t>
  </si>
  <si>
    <t>Fountain pen</t>
  </si>
  <si>
    <t>VLOOKUP EXAMPLE  2(Vlookup Multiple Values  At  Once)</t>
  </si>
  <si>
    <t>sqrt</t>
  </si>
  <si>
    <t>name</t>
  </si>
  <si>
    <t>hindi</t>
  </si>
  <si>
    <t>maths</t>
  </si>
  <si>
    <t>eng</t>
  </si>
  <si>
    <t>science</t>
  </si>
  <si>
    <t>s.s</t>
  </si>
  <si>
    <t>marathi</t>
  </si>
  <si>
    <t>total</t>
  </si>
  <si>
    <t>average</t>
  </si>
  <si>
    <t>max</t>
  </si>
  <si>
    <t>min</t>
  </si>
  <si>
    <t>pranav</t>
  </si>
  <si>
    <t>harsh</t>
  </si>
  <si>
    <t>parth</t>
  </si>
  <si>
    <t>aashesh</t>
  </si>
  <si>
    <t>hrutik</t>
  </si>
  <si>
    <t>archana</t>
  </si>
  <si>
    <t>ankita</t>
  </si>
  <si>
    <t>IF</t>
  </si>
  <si>
    <t>AND</t>
  </si>
  <si>
    <t>OR</t>
  </si>
  <si>
    <t>NOT</t>
  </si>
  <si>
    <t>NESTEDIF</t>
  </si>
  <si>
    <t>^</t>
  </si>
  <si>
    <t>caret</t>
  </si>
  <si>
    <t>A6*(1+B6)^C6-A6</t>
  </si>
  <si>
    <t>jaggery 500 gm</t>
  </si>
  <si>
    <t>jaggery 250 gm</t>
  </si>
  <si>
    <t>jaggery 600 gm</t>
  </si>
  <si>
    <t>jaggery 800 gm</t>
  </si>
  <si>
    <t>find</t>
  </si>
  <si>
    <t>amit sukhija</t>
  </si>
  <si>
    <t>rohit kadam</t>
  </si>
  <si>
    <t>nisha shigwan</t>
  </si>
  <si>
    <t>amay panchal</t>
  </si>
  <si>
    <t>john disouza</t>
  </si>
  <si>
    <t>LEFT(A20,FIND(" ",A20)-1)</t>
  </si>
  <si>
    <t>NETWORKDAYS(A40,B40)</t>
  </si>
  <si>
    <t>NETWORKDAYS(A40,B40,A43:B47)</t>
  </si>
  <si>
    <t>NETWORKDAYS.INTL(A40,B40,11)</t>
  </si>
  <si>
    <t>NETWORKDAYS.INTL(A40,B40,11,A43:B47)</t>
  </si>
  <si>
    <t>WORKDAY(A52,B52)</t>
  </si>
  <si>
    <t>WORKDAY(A52,B52,A55:B58)</t>
  </si>
  <si>
    <t>WORKDAY.INTL(A52,B52,11)</t>
  </si>
  <si>
    <t>WORKDAY.INTL(A52,B52,11,A55:B58)</t>
  </si>
  <si>
    <t>VLOOKUP($G$12,$A$3:$E$22,COLUMNS($A$3:B3),FALSE)</t>
  </si>
  <si>
    <t>INDEX(A3:F9,1,1)</t>
  </si>
  <si>
    <t>MATCH(A20,B3:B9,0)</t>
  </si>
  <si>
    <t>INDEX(B3:B9,MATCH(A24,A3:A9,0))</t>
  </si>
  <si>
    <t>INDEX(A28:D35,MATCH(C38,A28:A35,0),MATCH(C39,A28:D28,0))</t>
  </si>
  <si>
    <t>row number</t>
  </si>
  <si>
    <t>column number</t>
  </si>
  <si>
    <t>arry (whole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</si>
</sst>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&quot;$&quot;#,##0.00_);[Red]\(&quot;$&quot;#,##0.00\)"/>
    <numFmt numFmtId="165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vertAlign val="superscript"/>
      <sz val="15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3"/>
      <color rgb="FF222222"/>
      <name val="Arial"/>
      <family val="2"/>
    </font>
    <font>
      <b/>
      <sz val="11"/>
      <color rgb="FFFF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11796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0">
    <xf numFmtId="0" fontId="0" fillId="0" borderId="0" xfId="0"/>
    <xf numFmtId="0" fontId="2" fillId="3" borderId="4" xfId="0" applyFont="1" applyFill="1" applyBorder="1"/>
    <xf numFmtId="0" fontId="0" fillId="4" borderId="4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0" fillId="4" borderId="4" xfId="0" applyFont="1" applyFill="1" applyBorder="1"/>
    <xf numFmtId="9" fontId="0" fillId="4" borderId="4" xfId="0" applyNumberFormat="1" applyFill="1" applyBorder="1"/>
    <xf numFmtId="0" fontId="4" fillId="3" borderId="4" xfId="0" applyFont="1" applyFill="1" applyBorder="1"/>
    <xf numFmtId="0" fontId="3" fillId="4" borderId="4" xfId="0" applyFont="1" applyFill="1" applyBorder="1"/>
    <xf numFmtId="0" fontId="3" fillId="6" borderId="4" xfId="0" applyFont="1" applyFill="1" applyBorder="1"/>
    <xf numFmtId="0" fontId="3" fillId="7" borderId="4" xfId="0" applyFont="1" applyFill="1" applyBorder="1"/>
    <xf numFmtId="0" fontId="0" fillId="7" borderId="4" xfId="0" applyFill="1" applyBorder="1"/>
    <xf numFmtId="0" fontId="2" fillId="3" borderId="11" xfId="0" applyFont="1" applyFill="1" applyBorder="1"/>
    <xf numFmtId="0" fontId="0" fillId="7" borderId="4" xfId="0" applyFill="1" applyBorder="1" applyAlignment="1">
      <alignment horizontal="center"/>
    </xf>
    <xf numFmtId="0" fontId="0" fillId="6" borderId="4" xfId="0" applyFill="1" applyBorder="1" applyAlignment="1">
      <alignment horizontal="left" vertical="top"/>
    </xf>
    <xf numFmtId="0" fontId="0" fillId="9" borderId="4" xfId="0" applyFill="1" applyBorder="1" applyAlignment="1">
      <alignment horizontal="left" vertical="top"/>
    </xf>
    <xf numFmtId="0" fontId="3" fillId="8" borderId="4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3" borderId="4" xfId="0" applyFont="1" applyFill="1" applyBorder="1" applyAlignment="1">
      <alignment horizontal="left" vertical="top"/>
    </xf>
    <xf numFmtId="0" fontId="2" fillId="3" borderId="11" xfId="0" applyFont="1" applyFill="1" applyBorder="1" applyAlignment="1">
      <alignment horizontal="left" vertical="top"/>
    </xf>
    <xf numFmtId="0" fontId="2" fillId="3" borderId="12" xfId="0" applyFont="1" applyFill="1" applyBorder="1" applyAlignment="1">
      <alignment horizontal="left" vertical="top"/>
    </xf>
    <xf numFmtId="0" fontId="3" fillId="6" borderId="4" xfId="0" applyFont="1" applyFill="1" applyBorder="1" applyAlignment="1">
      <alignment horizontal="left" vertical="top"/>
    </xf>
    <xf numFmtId="1" fontId="0" fillId="6" borderId="4" xfId="0" applyNumberFormat="1" applyFill="1" applyBorder="1" applyAlignment="1">
      <alignment horizontal="left" vertical="top"/>
    </xf>
    <xf numFmtId="0" fontId="2" fillId="10" borderId="4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3" fillId="11" borderId="4" xfId="0" applyFont="1" applyFill="1" applyBorder="1"/>
    <xf numFmtId="0" fontId="3" fillId="12" borderId="4" xfId="0" applyFont="1" applyFill="1" applyBorder="1"/>
    <xf numFmtId="0" fontId="3" fillId="9" borderId="4" xfId="0" applyFont="1" applyFill="1" applyBorder="1"/>
    <xf numFmtId="0" fontId="3" fillId="12" borderId="4" xfId="0" applyFont="1" applyFill="1" applyBorder="1" applyAlignment="1">
      <alignment horizontal="left" vertical="top"/>
    </xf>
    <xf numFmtId="0" fontId="10" fillId="0" borderId="0" xfId="0" applyFont="1"/>
    <xf numFmtId="0" fontId="9" fillId="13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9" fontId="11" fillId="9" borderId="4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13" borderId="13" xfId="0" applyFont="1" applyFill="1" applyBorder="1" applyAlignment="1">
      <alignment horizontal="center" vertical="center"/>
    </xf>
    <xf numFmtId="0" fontId="9" fillId="13" borderId="13" xfId="0" applyFont="1" applyFill="1" applyBorder="1" applyAlignment="1">
      <alignment horizontal="center" vertical="center" wrapText="1"/>
    </xf>
    <xf numFmtId="1" fontId="11" fillId="9" borderId="1" xfId="0" applyNumberFormat="1" applyFont="1" applyFill="1" applyBorder="1" applyAlignment="1">
      <alignment horizontal="center" vertical="center"/>
    </xf>
    <xf numFmtId="2" fontId="11" fillId="9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9" fillId="13" borderId="3" xfId="0" applyFont="1" applyFill="1" applyBorder="1" applyAlignment="1">
      <alignment horizontal="center" vertical="center"/>
    </xf>
    <xf numFmtId="0" fontId="11" fillId="15" borderId="3" xfId="0" applyFont="1" applyFill="1" applyBorder="1" applyAlignment="1">
      <alignment horizontal="center" vertical="center"/>
    </xf>
    <xf numFmtId="9" fontId="11" fillId="15" borderId="4" xfId="0" applyNumberFormat="1" applyFont="1" applyFill="1" applyBorder="1" applyAlignment="1">
      <alignment horizontal="center" vertical="center"/>
    </xf>
    <xf numFmtId="0" fontId="11" fillId="15" borderId="4" xfId="0" applyFont="1" applyFill="1" applyBorder="1" applyAlignment="1">
      <alignment horizontal="center" vertical="center"/>
    </xf>
    <xf numFmtId="0" fontId="11" fillId="15" borderId="4" xfId="0" applyFont="1" applyFill="1" applyBorder="1" applyAlignment="1">
      <alignment horizontal="left" vertical="top"/>
    </xf>
    <xf numFmtId="0" fontId="10" fillId="0" borderId="0" xfId="0" applyFont="1" applyAlignment="1">
      <alignment horizontal="center" vertical="center"/>
    </xf>
    <xf numFmtId="0" fontId="9" fillId="13" borderId="7" xfId="0" applyFont="1" applyFill="1" applyBorder="1" applyAlignment="1">
      <alignment horizontal="center" vertical="center"/>
    </xf>
    <xf numFmtId="1" fontId="11" fillId="15" borderId="4" xfId="0" applyNumberFormat="1" applyFont="1" applyFill="1" applyBorder="1" applyAlignment="1">
      <alignment horizontal="center" vertical="center"/>
    </xf>
    <xf numFmtId="0" fontId="3" fillId="6" borderId="4" xfId="1" applyNumberFormat="1" applyFont="1" applyFill="1" applyBorder="1"/>
    <xf numFmtId="9" fontId="3" fillId="6" borderId="4" xfId="0" applyNumberFormat="1" applyFont="1" applyFill="1" applyBorder="1"/>
    <xf numFmtId="0" fontId="2" fillId="16" borderId="4" xfId="0" applyFont="1" applyFill="1" applyBorder="1" applyAlignment="1">
      <alignment horizontal="center" vertical="center"/>
    </xf>
    <xf numFmtId="2" fontId="3" fillId="8" borderId="4" xfId="0" applyNumberFormat="1" applyFont="1" applyFill="1" applyBorder="1" applyAlignment="1">
      <alignment horizontal="center" vertical="center"/>
    </xf>
    <xf numFmtId="165" fontId="3" fillId="6" borderId="4" xfId="1" applyNumberFormat="1" applyFont="1" applyFill="1" applyBorder="1"/>
    <xf numFmtId="1" fontId="13" fillId="8" borderId="4" xfId="0" applyNumberFormat="1" applyFont="1" applyFill="1" applyBorder="1" applyAlignment="1">
      <alignment horizontal="center" vertical="center"/>
    </xf>
    <xf numFmtId="10" fontId="3" fillId="6" borderId="4" xfId="0" applyNumberFormat="1" applyFont="1" applyFill="1" applyBorder="1"/>
    <xf numFmtId="164" fontId="13" fillId="8" borderId="4" xfId="0" applyNumberFormat="1" applyFont="1" applyFill="1" applyBorder="1" applyAlignment="1">
      <alignment horizontal="center" vertical="center"/>
    </xf>
    <xf numFmtId="0" fontId="3" fillId="6" borderId="4" xfId="0" applyFont="1" applyFill="1" applyBorder="1" applyAlignment="1"/>
    <xf numFmtId="0" fontId="3" fillId="6" borderId="4" xfId="0" applyNumberFormat="1" applyFont="1" applyFill="1" applyBorder="1"/>
    <xf numFmtId="1" fontId="3" fillId="8" borderId="4" xfId="1" applyNumberFormat="1" applyFont="1" applyFill="1" applyBorder="1"/>
    <xf numFmtId="1" fontId="3" fillId="8" borderId="4" xfId="0" applyNumberFormat="1" applyFont="1" applyFill="1" applyBorder="1"/>
    <xf numFmtId="0" fontId="3" fillId="6" borderId="4" xfId="2" applyNumberFormat="1" applyFont="1" applyFill="1" applyBorder="1"/>
    <xf numFmtId="10" fontId="3" fillId="8" borderId="4" xfId="2" applyNumberFormat="1" applyFont="1" applyFill="1" applyBorder="1"/>
    <xf numFmtId="9" fontId="3" fillId="8" borderId="4" xfId="2" applyFont="1" applyFill="1" applyBorder="1"/>
    <xf numFmtId="1" fontId="3" fillId="6" borderId="4" xfId="0" applyNumberFormat="1" applyFont="1" applyFill="1" applyBorder="1"/>
    <xf numFmtId="0" fontId="2" fillId="3" borderId="0" xfId="0" applyFont="1" applyFill="1" applyAlignment="1">
      <alignment horizontal="center" vertical="center" wrapText="1"/>
    </xf>
    <xf numFmtId="1" fontId="3" fillId="6" borderId="4" xfId="0" applyNumberFormat="1" applyFont="1" applyFill="1" applyBorder="1" applyAlignment="1"/>
    <xf numFmtId="0" fontId="14" fillId="9" borderId="4" xfId="0" applyFont="1" applyFill="1" applyBorder="1"/>
    <xf numFmtId="0" fontId="0" fillId="0" borderId="4" xfId="0" applyBorder="1"/>
    <xf numFmtId="1" fontId="0" fillId="0" borderId="4" xfId="0" applyNumberFormat="1" applyBorder="1"/>
    <xf numFmtId="0" fontId="3" fillId="9" borderId="4" xfId="0" applyFont="1" applyFill="1" applyBorder="1" applyAlignment="1">
      <alignment horizontal="left" vertical="top"/>
    </xf>
    <xf numFmtId="0" fontId="3" fillId="19" borderId="4" xfId="0" applyFont="1" applyFill="1" applyBorder="1"/>
    <xf numFmtId="14" fontId="3" fillId="19" borderId="4" xfId="0" applyNumberFormat="1" applyFont="1" applyFill="1" applyBorder="1"/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left" vertical="top"/>
    </xf>
    <xf numFmtId="14" fontId="0" fillId="0" borderId="0" xfId="0" applyNumberFormat="1"/>
    <xf numFmtId="22" fontId="3" fillId="19" borderId="4" xfId="0" applyNumberFormat="1" applyFont="1" applyFill="1" applyBorder="1"/>
    <xf numFmtId="0" fontId="3" fillId="0" borderId="0" xfId="0" applyFont="1" applyAlignment="1">
      <alignment horizontal="left" vertical="top"/>
    </xf>
    <xf numFmtId="14" fontId="0" fillId="19" borderId="4" xfId="0" applyNumberFormat="1" applyFill="1" applyBorder="1"/>
    <xf numFmtId="0" fontId="0" fillId="0" borderId="0" xfId="0" applyAlignment="1">
      <alignment horizontal="right"/>
    </xf>
    <xf numFmtId="18" fontId="0" fillId="19" borderId="4" xfId="0" applyNumberFormat="1" applyFill="1" applyBorder="1"/>
    <xf numFmtId="18" fontId="0" fillId="0" borderId="0" xfId="0" applyNumberFormat="1"/>
    <xf numFmtId="14" fontId="3" fillId="9" borderId="4" xfId="0" applyNumberFormat="1" applyFont="1" applyFill="1" applyBorder="1"/>
    <xf numFmtId="0" fontId="3" fillId="0" borderId="0" xfId="0" applyFont="1"/>
    <xf numFmtId="0" fontId="0" fillId="0" borderId="0" xfId="0" applyFill="1" applyBorder="1"/>
    <xf numFmtId="0" fontId="3" fillId="0" borderId="0" xfId="0" applyFont="1" applyFill="1" applyBorder="1"/>
    <xf numFmtId="0" fontId="0" fillId="9" borderId="4" xfId="0" applyFill="1" applyBorder="1"/>
    <xf numFmtId="0" fontId="0" fillId="9" borderId="4" xfId="0" applyFill="1" applyBorder="1" applyAlignment="1"/>
    <xf numFmtId="14" fontId="0" fillId="20" borderId="4" xfId="0" applyNumberFormat="1" applyFill="1" applyBorder="1"/>
    <xf numFmtId="14" fontId="0" fillId="20" borderId="4" xfId="0" applyNumberFormat="1" applyFill="1" applyBorder="1" applyAlignment="1"/>
    <xf numFmtId="0" fontId="0" fillId="19" borderId="4" xfId="0" applyFill="1" applyBorder="1" applyAlignment="1">
      <alignment horizontal="left" vertical="top"/>
    </xf>
    <xf numFmtId="0" fontId="0" fillId="20" borderId="4" xfId="0" applyNumberFormat="1" applyFill="1" applyBorder="1" applyAlignment="1"/>
    <xf numFmtId="0" fontId="14" fillId="0" borderId="4" xfId="0" applyFont="1" applyBorder="1"/>
    <xf numFmtId="0" fontId="15" fillId="0" borderId="4" xfId="0" applyFont="1" applyBorder="1"/>
    <xf numFmtId="0" fontId="0" fillId="19" borderId="4" xfId="0" applyFill="1" applyBorder="1"/>
    <xf numFmtId="14" fontId="0" fillId="6" borderId="4" xfId="0" applyNumberFormat="1" applyFill="1" applyBorder="1"/>
    <xf numFmtId="0" fontId="0" fillId="6" borderId="4" xfId="0" applyFill="1" applyBorder="1"/>
    <xf numFmtId="0" fontId="3" fillId="6" borderId="14" xfId="0" applyFont="1" applyFill="1" applyBorder="1" applyAlignment="1">
      <alignment horizontal="left" vertical="top"/>
    </xf>
    <xf numFmtId="0" fontId="3" fillId="6" borderId="0" xfId="0" applyFont="1" applyFill="1" applyAlignment="1">
      <alignment horizontal="left" vertical="top"/>
    </xf>
    <xf numFmtId="0" fontId="3" fillId="6" borderId="3" xfId="0" applyFont="1" applyFill="1" applyBorder="1" applyAlignment="1">
      <alignment horizontal="left" vertical="top"/>
    </xf>
    <xf numFmtId="0" fontId="3" fillId="6" borderId="13" xfId="0" applyFont="1" applyFill="1" applyBorder="1" applyAlignment="1">
      <alignment horizontal="left" vertical="top"/>
    </xf>
    <xf numFmtId="0" fontId="0" fillId="6" borderId="0" xfId="0" applyFill="1" applyAlignment="1">
      <alignment horizontal="left" vertical="top"/>
    </xf>
    <xf numFmtId="0" fontId="3" fillId="21" borderId="4" xfId="0" applyFont="1" applyFill="1" applyBorder="1" applyAlignment="1">
      <alignment horizontal="center" vertical="center"/>
    </xf>
    <xf numFmtId="0" fontId="3" fillId="8" borderId="4" xfId="0" applyFont="1" applyFill="1" applyBorder="1"/>
    <xf numFmtId="0" fontId="3" fillId="23" borderId="4" xfId="0" applyFont="1" applyFill="1" applyBorder="1"/>
    <xf numFmtId="0" fontId="0" fillId="0" borderId="4" xfId="0" applyFill="1" applyBorder="1"/>
    <xf numFmtId="0" fontId="16" fillId="0" borderId="0" xfId="0" applyFont="1" applyAlignment="1">
      <alignment horizontal="left" vertical="center" wrapText="1" indent="1"/>
    </xf>
    <xf numFmtId="0" fontId="16" fillId="19" borderId="4" xfId="0" applyFont="1" applyFill="1" applyBorder="1" applyAlignment="1">
      <alignment horizontal="left" vertical="center" wrapText="1" indent="1"/>
    </xf>
    <xf numFmtId="0" fontId="17" fillId="6" borderId="4" xfId="0" applyFont="1" applyFill="1" applyBorder="1" applyAlignment="1">
      <alignment horizontal="left" vertical="top"/>
    </xf>
    <xf numFmtId="0" fontId="17" fillId="0" borderId="4" xfId="0" applyFont="1" applyBorder="1"/>
    <xf numFmtId="0" fontId="3" fillId="0" borderId="4" xfId="0" applyFont="1" applyBorder="1"/>
    <xf numFmtId="0" fontId="0" fillId="4" borderId="12" xfId="0" applyFill="1" applyBorder="1"/>
    <xf numFmtId="0" fontId="2" fillId="18" borderId="0" xfId="0" applyFont="1" applyFill="1" applyBorder="1" applyAlignment="1">
      <alignment horizontal="center" vertical="center"/>
    </xf>
    <xf numFmtId="0" fontId="0" fillId="19" borderId="0" xfId="0" applyFill="1" applyBorder="1" applyAlignment="1">
      <alignment horizontal="left" vertical="top"/>
    </xf>
    <xf numFmtId="0" fontId="2" fillId="18" borderId="0" xfId="0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3" fillId="6" borderId="4" xfId="0" applyFont="1" applyFill="1" applyBorder="1" applyAlignment="1">
      <alignment horizontal="left" vertical="top" wrapText="1"/>
    </xf>
    <xf numFmtId="0" fontId="17" fillId="6" borderId="4" xfId="0" applyFont="1" applyFill="1" applyBorder="1" applyAlignment="1">
      <alignment horizontal="left" vertical="top" wrapText="1"/>
    </xf>
    <xf numFmtId="0" fontId="3" fillId="21" borderId="4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3" fillId="6" borderId="3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/>
    </xf>
    <xf numFmtId="0" fontId="3" fillId="6" borderId="3" xfId="0" applyFont="1" applyFill="1" applyBorder="1" applyAlignment="1">
      <alignment horizontal="left" vertical="top"/>
    </xf>
    <xf numFmtId="0" fontId="0" fillId="6" borderId="1" xfId="0" applyFill="1" applyBorder="1" applyAlignment="1">
      <alignment horizontal="left" vertical="top" wrapText="1"/>
    </xf>
    <xf numFmtId="0" fontId="0" fillId="6" borderId="2" xfId="0" applyFill="1" applyBorder="1" applyAlignment="1">
      <alignment horizontal="left" vertical="top" wrapText="1"/>
    </xf>
    <xf numFmtId="0" fontId="0" fillId="6" borderId="3" xfId="0" applyFill="1" applyBorder="1" applyAlignment="1">
      <alignment horizontal="left" vertical="top" wrapText="1"/>
    </xf>
    <xf numFmtId="0" fontId="3" fillId="8" borderId="4" xfId="0" applyFont="1" applyFill="1" applyBorder="1" applyAlignment="1">
      <alignment horizontal="center"/>
    </xf>
    <xf numFmtId="0" fontId="13" fillId="22" borderId="1" xfId="0" applyFont="1" applyFill="1" applyBorder="1" applyAlignment="1">
      <alignment horizontal="center" vertical="top"/>
    </xf>
    <xf numFmtId="0" fontId="13" fillId="22" borderId="2" xfId="0" applyFont="1" applyFill="1" applyBorder="1" applyAlignment="1">
      <alignment horizontal="center" vertical="top"/>
    </xf>
    <xf numFmtId="0" fontId="13" fillId="22" borderId="3" xfId="0" applyFont="1" applyFill="1" applyBorder="1" applyAlignment="1">
      <alignment horizontal="center" vertical="top"/>
    </xf>
    <xf numFmtId="0" fontId="0" fillId="0" borderId="4" xfId="0" applyBorder="1" applyAlignment="1">
      <alignment horizontal="left" vertical="top"/>
    </xf>
    <xf numFmtId="0" fontId="14" fillId="9" borderId="4" xfId="0" applyFont="1" applyFill="1" applyBorder="1" applyAlignment="1">
      <alignment horizontal="left" vertical="top"/>
    </xf>
    <xf numFmtId="0" fontId="14" fillId="9" borderId="4" xfId="0" applyFont="1" applyFill="1" applyBorder="1" applyAlignment="1">
      <alignment horizontal="left" vertical="center"/>
    </xf>
    <xf numFmtId="0" fontId="8" fillId="17" borderId="4" xfId="0" applyFont="1" applyFill="1" applyBorder="1" applyAlignment="1">
      <alignment horizontal="center"/>
    </xf>
    <xf numFmtId="0" fontId="2" fillId="18" borderId="4" xfId="0" applyFont="1" applyFill="1" applyBorder="1" applyAlignment="1">
      <alignment horizontal="center" vertical="center" wrapText="1"/>
    </xf>
    <xf numFmtId="0" fontId="6" fillId="18" borderId="9" xfId="0" applyFont="1" applyFill="1" applyBorder="1" applyAlignment="1">
      <alignment horizontal="center" vertical="center" wrapText="1"/>
    </xf>
    <xf numFmtId="0" fontId="6" fillId="18" borderId="4" xfId="0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14" fontId="3" fillId="19" borderId="1" xfId="0" applyNumberFormat="1" applyFont="1" applyFill="1" applyBorder="1" applyAlignment="1">
      <alignment horizontal="center"/>
    </xf>
    <xf numFmtId="14" fontId="3" fillId="19" borderId="3" xfId="0" applyNumberFormat="1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2" fillId="18" borderId="2" xfId="0" applyFont="1" applyFill="1" applyBorder="1" applyAlignment="1">
      <alignment horizontal="center"/>
    </xf>
    <xf numFmtId="0" fontId="2" fillId="18" borderId="3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 vertical="center"/>
    </xf>
    <xf numFmtId="0" fontId="2" fillId="18" borderId="2" xfId="0" applyFont="1" applyFill="1" applyBorder="1" applyAlignment="1">
      <alignment horizontal="center" vertical="center"/>
    </xf>
    <xf numFmtId="0" fontId="2" fillId="18" borderId="3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/>
    </xf>
    <xf numFmtId="0" fontId="2" fillId="18" borderId="4" xfId="0" applyFont="1" applyFill="1" applyBorder="1" applyAlignment="1">
      <alignment horizontal="center"/>
    </xf>
    <xf numFmtId="0" fontId="0" fillId="19" borderId="4" xfId="0" applyFill="1" applyBorder="1" applyAlignment="1">
      <alignment horizontal="left" vertical="top"/>
    </xf>
    <xf numFmtId="0" fontId="2" fillId="18" borderId="4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18" borderId="3" xfId="0" applyFont="1" applyFill="1" applyBorder="1" applyAlignment="1">
      <alignment horizontal="center" vertical="center" wrapText="1"/>
    </xf>
    <xf numFmtId="0" fontId="4" fillId="18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top"/>
    </xf>
    <xf numFmtId="0" fontId="3" fillId="8" borderId="3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/>
    </xf>
    <xf numFmtId="0" fontId="2" fillId="2" borderId="9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4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/>
    </xf>
    <xf numFmtId="0" fontId="9" fillId="14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left"/>
    </xf>
    <xf numFmtId="9" fontId="3" fillId="6" borderId="1" xfId="2" applyNumberFormat="1" applyFont="1" applyFill="1" applyBorder="1" applyAlignment="1">
      <alignment horizontal="center"/>
    </xf>
    <xf numFmtId="9" fontId="3" fillId="6" borderId="2" xfId="2" applyNumberFormat="1" applyFont="1" applyFill="1" applyBorder="1" applyAlignment="1">
      <alignment horizontal="center"/>
    </xf>
    <xf numFmtId="9" fontId="3" fillId="6" borderId="3" xfId="2" applyNumberFormat="1" applyFont="1" applyFill="1" applyBorder="1" applyAlignment="1">
      <alignment horizontal="center"/>
    </xf>
    <xf numFmtId="0" fontId="2" fillId="16" borderId="4" xfId="0" applyFont="1" applyFill="1" applyBorder="1" applyAlignment="1">
      <alignment horizontal="left" vertical="center"/>
    </xf>
    <xf numFmtId="1" fontId="13" fillId="8" borderId="1" xfId="0" applyNumberFormat="1" applyFont="1" applyFill="1" applyBorder="1" applyAlignment="1">
      <alignment horizontal="center" vertical="center"/>
    </xf>
    <xf numFmtId="1" fontId="13" fillId="8" borderId="2" xfId="0" applyNumberFormat="1" applyFont="1" applyFill="1" applyBorder="1" applyAlignment="1">
      <alignment horizontal="center" vertical="center"/>
    </xf>
    <xf numFmtId="1" fontId="13" fillId="8" borderId="3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mp/Desktop/VLOOKUP%20SAMP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A1" t="str">
            <v>HSN CODE</v>
          </cell>
          <cell r="B1" t="str">
            <v>PRODUCT</v>
          </cell>
          <cell r="C1" t="str">
            <v>QTY</v>
          </cell>
          <cell r="D1" t="str">
            <v>PRICE</v>
          </cell>
          <cell r="E1" t="str">
            <v>GST RATE</v>
          </cell>
        </row>
        <row r="2">
          <cell r="A2">
            <v>401020</v>
          </cell>
          <cell r="B2" t="str">
            <v>BACKET</v>
          </cell>
          <cell r="C2">
            <v>25</v>
          </cell>
          <cell r="D2">
            <v>170</v>
          </cell>
          <cell r="E2">
            <v>0.12</v>
          </cell>
        </row>
        <row r="3">
          <cell r="A3">
            <v>402040</v>
          </cell>
          <cell r="B3" t="str">
            <v>BAG</v>
          </cell>
          <cell r="C3">
            <v>65</v>
          </cell>
          <cell r="D3">
            <v>580</v>
          </cell>
          <cell r="E3">
            <v>0.18</v>
          </cell>
        </row>
        <row r="4">
          <cell r="A4">
            <v>403060</v>
          </cell>
          <cell r="B4" t="str">
            <v>BREAD</v>
          </cell>
          <cell r="C4">
            <v>25</v>
          </cell>
          <cell r="D4">
            <v>35</v>
          </cell>
          <cell r="E4">
            <v>0.05</v>
          </cell>
        </row>
        <row r="5">
          <cell r="A5">
            <v>404080</v>
          </cell>
          <cell r="B5" t="str">
            <v>BUTTER</v>
          </cell>
          <cell r="C5">
            <v>32</v>
          </cell>
          <cell r="D5">
            <v>190</v>
          </cell>
          <cell r="E5">
            <v>0.05</v>
          </cell>
        </row>
        <row r="6">
          <cell r="A6">
            <v>405100</v>
          </cell>
          <cell r="B6" t="str">
            <v>CHEESE</v>
          </cell>
          <cell r="C6">
            <v>10</v>
          </cell>
          <cell r="D6">
            <v>13</v>
          </cell>
          <cell r="E6">
            <v>0.05</v>
          </cell>
        </row>
        <row r="7">
          <cell r="A7">
            <v>406120</v>
          </cell>
          <cell r="B7" t="str">
            <v>CURD</v>
          </cell>
          <cell r="C7">
            <v>74</v>
          </cell>
          <cell r="D7">
            <v>20</v>
          </cell>
          <cell r="E7">
            <v>0.12</v>
          </cell>
        </row>
        <row r="8">
          <cell r="A8">
            <v>407140</v>
          </cell>
          <cell r="B8" t="str">
            <v>EGG</v>
          </cell>
          <cell r="C8">
            <v>41</v>
          </cell>
          <cell r="D8">
            <v>7</v>
          </cell>
          <cell r="E8">
            <v>0.05</v>
          </cell>
        </row>
        <row r="9">
          <cell r="A9">
            <v>408160</v>
          </cell>
          <cell r="B9" t="str">
            <v>FRIDGE</v>
          </cell>
          <cell r="C9">
            <v>21</v>
          </cell>
          <cell r="D9">
            <v>25000</v>
          </cell>
          <cell r="E9">
            <v>0.28000000000000003</v>
          </cell>
        </row>
        <row r="10">
          <cell r="A10">
            <v>409180</v>
          </cell>
          <cell r="B10" t="str">
            <v>GHEE</v>
          </cell>
          <cell r="C10">
            <v>56</v>
          </cell>
          <cell r="D10">
            <v>150</v>
          </cell>
          <cell r="E10">
            <v>0.12</v>
          </cell>
        </row>
        <row r="11">
          <cell r="A11">
            <v>410200</v>
          </cell>
          <cell r="B11" t="str">
            <v>IRON</v>
          </cell>
          <cell r="C11">
            <v>63</v>
          </cell>
          <cell r="D11">
            <v>1000</v>
          </cell>
          <cell r="E11">
            <v>0.28000000000000003</v>
          </cell>
        </row>
        <row r="12">
          <cell r="A12">
            <v>411220</v>
          </cell>
          <cell r="B12" t="str">
            <v>MICROWAVE</v>
          </cell>
          <cell r="C12">
            <v>45</v>
          </cell>
          <cell r="D12">
            <v>30000</v>
          </cell>
          <cell r="E12">
            <v>0.28000000000000003</v>
          </cell>
        </row>
        <row r="13">
          <cell r="A13">
            <v>412240</v>
          </cell>
          <cell r="B13" t="str">
            <v>MILK</v>
          </cell>
          <cell r="C13">
            <v>54</v>
          </cell>
          <cell r="D13">
            <v>25</v>
          </cell>
          <cell r="E13">
            <v>0.05</v>
          </cell>
        </row>
        <row r="14">
          <cell r="A14">
            <v>413260</v>
          </cell>
          <cell r="B14" t="str">
            <v>PEN</v>
          </cell>
          <cell r="C14">
            <v>74</v>
          </cell>
          <cell r="D14">
            <v>10</v>
          </cell>
          <cell r="E14">
            <v>0.18</v>
          </cell>
        </row>
        <row r="15">
          <cell r="A15">
            <v>414280</v>
          </cell>
          <cell r="B15" t="str">
            <v>PENCIL</v>
          </cell>
          <cell r="C15">
            <v>89</v>
          </cell>
          <cell r="D15">
            <v>5</v>
          </cell>
          <cell r="E15">
            <v>0.18</v>
          </cell>
        </row>
        <row r="16">
          <cell r="A16">
            <v>415300</v>
          </cell>
          <cell r="B16" t="str">
            <v>SHEMPOO</v>
          </cell>
          <cell r="C16">
            <v>14</v>
          </cell>
          <cell r="D16">
            <v>5</v>
          </cell>
          <cell r="E16">
            <v>0.12</v>
          </cell>
        </row>
        <row r="17">
          <cell r="A17">
            <v>416320</v>
          </cell>
          <cell r="B17" t="str">
            <v>SOAP</v>
          </cell>
          <cell r="C17">
            <v>32</v>
          </cell>
          <cell r="D17">
            <v>23</v>
          </cell>
          <cell r="E17">
            <v>0.12</v>
          </cell>
        </row>
        <row r="18">
          <cell r="A18">
            <v>417340</v>
          </cell>
          <cell r="B18" t="str">
            <v>SURF</v>
          </cell>
          <cell r="C18">
            <v>56</v>
          </cell>
          <cell r="D18">
            <v>10</v>
          </cell>
          <cell r="E18">
            <v>0.12</v>
          </cell>
        </row>
        <row r="19">
          <cell r="A19">
            <v>418360</v>
          </cell>
          <cell r="B19" t="str">
            <v>TELEVISION</v>
          </cell>
          <cell r="C19">
            <v>33</v>
          </cell>
          <cell r="D19">
            <v>45000</v>
          </cell>
          <cell r="E19">
            <v>0.28000000000000003</v>
          </cell>
        </row>
        <row r="20">
          <cell r="A20">
            <v>419380</v>
          </cell>
          <cell r="B20" t="str">
            <v>TUBLER</v>
          </cell>
          <cell r="C20">
            <v>65</v>
          </cell>
          <cell r="D20">
            <v>60</v>
          </cell>
          <cell r="E20">
            <v>0.12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zoomScaleNormal="100" workbookViewId="0">
      <selection activeCell="B6" sqref="B6"/>
    </sheetView>
  </sheetViews>
  <sheetFormatPr defaultRowHeight="15" x14ac:dyDescent="0.25"/>
  <cols>
    <col min="1" max="1" width="5.5703125" customWidth="1"/>
    <col min="2" max="2" width="20.7109375" customWidth="1"/>
    <col min="11" max="11" width="14.28515625" customWidth="1"/>
  </cols>
  <sheetData>
    <row r="1" spans="1:11" x14ac:dyDescent="0.25">
      <c r="A1" s="116" t="s">
        <v>241</v>
      </c>
      <c r="B1" s="116"/>
      <c r="C1" s="116"/>
      <c r="D1" s="116"/>
      <c r="E1" s="116"/>
      <c r="F1" s="116"/>
      <c r="G1" s="116"/>
    </row>
    <row r="3" spans="1:11" x14ac:dyDescent="0.25">
      <c r="A3" s="103" t="s">
        <v>242</v>
      </c>
      <c r="B3" s="103" t="s">
        <v>246</v>
      </c>
      <c r="C3" s="119" t="s">
        <v>245</v>
      </c>
      <c r="D3" s="119"/>
      <c r="E3" s="119"/>
      <c r="F3" s="119"/>
      <c r="G3" s="119"/>
      <c r="H3" s="119"/>
      <c r="I3" s="119"/>
      <c r="J3" s="119"/>
      <c r="K3" s="119"/>
    </row>
    <row r="4" spans="1:11" x14ac:dyDescent="0.25">
      <c r="A4" s="14">
        <v>1</v>
      </c>
      <c r="B4" s="109" t="s">
        <v>243</v>
      </c>
      <c r="C4" s="118" t="s">
        <v>244</v>
      </c>
      <c r="D4" s="118"/>
      <c r="E4" s="118"/>
      <c r="F4" s="118"/>
      <c r="G4" s="118"/>
      <c r="H4" s="118"/>
      <c r="I4" s="118"/>
      <c r="J4" s="118"/>
      <c r="K4" s="118"/>
    </row>
    <row r="5" spans="1:11" x14ac:dyDescent="0.25">
      <c r="A5" s="14">
        <v>2</v>
      </c>
      <c r="B5" s="109" t="s">
        <v>249</v>
      </c>
      <c r="C5" s="118" t="s">
        <v>250</v>
      </c>
      <c r="D5" s="118"/>
      <c r="E5" s="118"/>
      <c r="F5" s="118"/>
      <c r="G5" s="118"/>
      <c r="H5" s="118"/>
      <c r="I5" s="118"/>
      <c r="J5" s="118"/>
      <c r="K5" s="118"/>
    </row>
    <row r="6" spans="1:11" x14ac:dyDescent="0.25">
      <c r="A6" s="14">
        <v>3</v>
      </c>
      <c r="B6" s="21" t="s">
        <v>247</v>
      </c>
      <c r="C6" s="117" t="s">
        <v>248</v>
      </c>
      <c r="D6" s="117"/>
      <c r="E6" s="117"/>
      <c r="F6" s="117"/>
      <c r="G6" s="117"/>
      <c r="H6" s="117"/>
      <c r="I6" s="117"/>
      <c r="J6" s="117"/>
      <c r="K6" s="117"/>
    </row>
    <row r="7" spans="1:11" x14ac:dyDescent="0.25">
      <c r="A7" s="14">
        <v>4</v>
      </c>
      <c r="B7" s="21" t="s">
        <v>251</v>
      </c>
      <c r="C7" s="120" t="s">
        <v>252</v>
      </c>
      <c r="D7" s="121"/>
      <c r="E7" s="121"/>
      <c r="F7" s="121"/>
      <c r="G7" s="121"/>
      <c r="H7" s="121"/>
      <c r="I7" s="121"/>
      <c r="J7" s="121"/>
      <c r="K7" s="122"/>
    </row>
    <row r="8" spans="1:11" ht="33" customHeight="1" x14ac:dyDescent="0.25">
      <c r="A8" s="14">
        <v>5</v>
      </c>
      <c r="B8" s="98" t="s">
        <v>257</v>
      </c>
      <c r="C8" s="117" t="s">
        <v>260</v>
      </c>
      <c r="D8" s="117"/>
      <c r="E8" s="117"/>
      <c r="F8" s="117"/>
      <c r="G8" s="117"/>
      <c r="H8" s="117"/>
      <c r="I8" s="117"/>
      <c r="J8" s="117"/>
      <c r="K8" s="117"/>
    </row>
    <row r="9" spans="1:11" ht="36.75" customHeight="1" x14ac:dyDescent="0.25">
      <c r="A9" s="14">
        <v>6</v>
      </c>
      <c r="B9" s="21" t="s">
        <v>258</v>
      </c>
      <c r="C9" s="117" t="s">
        <v>261</v>
      </c>
      <c r="D9" s="117"/>
      <c r="E9" s="117"/>
      <c r="F9" s="117"/>
      <c r="G9" s="117"/>
      <c r="H9" s="117"/>
      <c r="I9" s="117"/>
      <c r="J9" s="117"/>
      <c r="K9" s="117"/>
    </row>
    <row r="10" spans="1:11" ht="15" customHeight="1" x14ac:dyDescent="0.25">
      <c r="A10" s="14">
        <v>8</v>
      </c>
      <c r="B10" s="21" t="s">
        <v>253</v>
      </c>
      <c r="C10" s="120" t="s">
        <v>259</v>
      </c>
      <c r="D10" s="121"/>
      <c r="E10" s="121"/>
      <c r="F10" s="121"/>
      <c r="G10" s="121"/>
      <c r="H10" s="121"/>
      <c r="I10" s="121"/>
      <c r="J10" s="121"/>
      <c r="K10" s="122"/>
    </row>
    <row r="11" spans="1:11" ht="15" customHeight="1" x14ac:dyDescent="0.25">
      <c r="A11" s="14">
        <v>9</v>
      </c>
      <c r="B11" s="21" t="s">
        <v>254</v>
      </c>
      <c r="C11" s="120" t="s">
        <v>255</v>
      </c>
      <c r="D11" s="121"/>
      <c r="E11" s="121"/>
      <c r="F11" s="121"/>
      <c r="G11" s="121"/>
      <c r="H11" s="121"/>
      <c r="I11" s="121"/>
      <c r="J11" s="121"/>
      <c r="K11" s="122"/>
    </row>
    <row r="12" spans="1:11" x14ac:dyDescent="0.25">
      <c r="A12" s="14">
        <v>10</v>
      </c>
      <c r="B12" s="21" t="s">
        <v>31</v>
      </c>
      <c r="C12" s="120" t="s">
        <v>256</v>
      </c>
      <c r="D12" s="121"/>
      <c r="E12" s="121"/>
      <c r="F12" s="121"/>
      <c r="G12" s="121"/>
      <c r="H12" s="121"/>
      <c r="I12" s="121"/>
      <c r="J12" s="121"/>
      <c r="K12" s="122"/>
    </row>
    <row r="13" spans="1:11" x14ac:dyDescent="0.25">
      <c r="A13" s="14">
        <v>11</v>
      </c>
      <c r="B13" s="21" t="s">
        <v>262</v>
      </c>
      <c r="C13" s="21" t="s">
        <v>263</v>
      </c>
      <c r="D13" s="14"/>
      <c r="E13" s="14"/>
      <c r="F13" s="14"/>
      <c r="G13" s="14"/>
      <c r="H13" s="14"/>
      <c r="I13" s="14"/>
      <c r="J13" s="14"/>
      <c r="K13" s="14"/>
    </row>
    <row r="14" spans="1:11" ht="38.25" customHeight="1" x14ac:dyDescent="0.25">
      <c r="A14" s="14">
        <v>12</v>
      </c>
      <c r="B14" s="99" t="s">
        <v>264</v>
      </c>
      <c r="C14" s="120" t="s">
        <v>265</v>
      </c>
      <c r="D14" s="121"/>
      <c r="E14" s="121"/>
      <c r="F14" s="121"/>
      <c r="G14" s="121"/>
      <c r="H14" s="121"/>
      <c r="I14" s="121"/>
      <c r="J14" s="121"/>
      <c r="K14" s="122"/>
    </row>
    <row r="15" spans="1:11" ht="31.5" customHeight="1" x14ac:dyDescent="0.25">
      <c r="A15" s="14">
        <v>13</v>
      </c>
      <c r="B15" s="99" t="s">
        <v>273</v>
      </c>
      <c r="C15" s="120" t="s">
        <v>266</v>
      </c>
      <c r="D15" s="121"/>
      <c r="E15" s="121"/>
      <c r="F15" s="121"/>
      <c r="G15" s="121"/>
      <c r="H15" s="121"/>
      <c r="I15" s="121"/>
      <c r="J15" s="121"/>
      <c r="K15" s="122"/>
    </row>
    <row r="16" spans="1:11" x14ac:dyDescent="0.25">
      <c r="A16" s="14">
        <v>14</v>
      </c>
      <c r="B16" s="21" t="s">
        <v>267</v>
      </c>
      <c r="C16" s="121" t="s">
        <v>268</v>
      </c>
      <c r="D16" s="121"/>
      <c r="E16" s="121"/>
      <c r="F16" s="121"/>
      <c r="G16" s="121"/>
      <c r="H16" s="121"/>
      <c r="I16" s="121"/>
      <c r="J16" s="121"/>
      <c r="K16" s="122"/>
    </row>
    <row r="17" spans="1:11" x14ac:dyDescent="0.25">
      <c r="A17" s="14">
        <v>15</v>
      </c>
      <c r="B17" s="21" t="s">
        <v>269</v>
      </c>
      <c r="C17" s="100" t="s">
        <v>270</v>
      </c>
      <c r="D17" s="14"/>
      <c r="E17" s="14"/>
      <c r="F17" s="14"/>
      <c r="G17" s="14"/>
      <c r="H17" s="14"/>
      <c r="I17" s="14"/>
      <c r="J17" s="14"/>
      <c r="K17" s="14"/>
    </row>
    <row r="18" spans="1:11" ht="30" customHeight="1" x14ac:dyDescent="0.25">
      <c r="A18" s="14">
        <v>16</v>
      </c>
      <c r="B18" s="21" t="s">
        <v>271</v>
      </c>
      <c r="C18" s="121" t="s">
        <v>272</v>
      </c>
      <c r="D18" s="123"/>
      <c r="E18" s="123"/>
      <c r="F18" s="123"/>
      <c r="G18" s="123"/>
      <c r="H18" s="123"/>
      <c r="I18" s="123"/>
      <c r="J18" s="123"/>
      <c r="K18" s="124"/>
    </row>
    <row r="19" spans="1:11" x14ac:dyDescent="0.25">
      <c r="A19" s="14">
        <v>17</v>
      </c>
      <c r="B19" s="21" t="s">
        <v>274</v>
      </c>
      <c r="C19" s="99" t="s">
        <v>275</v>
      </c>
      <c r="D19" s="14"/>
      <c r="E19" s="14"/>
      <c r="F19" s="14"/>
      <c r="G19" s="14"/>
      <c r="H19" s="14"/>
      <c r="I19" s="14"/>
      <c r="J19" s="14"/>
      <c r="K19" s="14"/>
    </row>
    <row r="20" spans="1:11" x14ac:dyDescent="0.25">
      <c r="A20" s="14">
        <v>18</v>
      </c>
      <c r="B20" s="21" t="s">
        <v>276</v>
      </c>
      <c r="C20" s="99" t="s">
        <v>277</v>
      </c>
      <c r="D20" s="101"/>
      <c r="E20" s="101"/>
      <c r="F20" s="101"/>
      <c r="G20" s="21"/>
      <c r="H20" s="21"/>
      <c r="I20" s="21"/>
      <c r="J20" s="14"/>
      <c r="K20" s="14"/>
    </row>
    <row r="21" spans="1:11" x14ac:dyDescent="0.25">
      <c r="A21" s="102"/>
      <c r="B21" s="98" t="s">
        <v>281</v>
      </c>
      <c r="C21" s="99" t="s">
        <v>282</v>
      </c>
      <c r="D21" s="102"/>
      <c r="E21" s="102"/>
      <c r="F21" s="102"/>
      <c r="G21" s="102"/>
      <c r="H21" s="102"/>
      <c r="I21" s="102"/>
      <c r="J21" s="102"/>
      <c r="K21" s="102"/>
    </row>
    <row r="22" spans="1:11" x14ac:dyDescent="0.25">
      <c r="A22" s="14">
        <v>19</v>
      </c>
      <c r="B22" s="14" t="s">
        <v>278</v>
      </c>
      <c r="C22" s="21" t="s">
        <v>279</v>
      </c>
      <c r="D22" s="14"/>
      <c r="E22" s="14"/>
      <c r="F22" s="14"/>
      <c r="G22" s="102"/>
      <c r="H22" s="102"/>
      <c r="I22" s="102"/>
      <c r="J22" s="14"/>
      <c r="K22" s="14"/>
    </row>
    <row r="23" spans="1:11" ht="33" customHeight="1" x14ac:dyDescent="0.25">
      <c r="A23" s="14">
        <v>20</v>
      </c>
      <c r="B23" s="14" t="s">
        <v>280</v>
      </c>
      <c r="C23" s="125" t="s">
        <v>283</v>
      </c>
      <c r="D23" s="126"/>
      <c r="E23" s="126"/>
      <c r="F23" s="126"/>
      <c r="G23" s="126"/>
      <c r="H23" s="126"/>
      <c r="I23" s="126"/>
      <c r="J23" s="126"/>
      <c r="K23" s="127"/>
    </row>
  </sheetData>
  <mergeCells count="16">
    <mergeCell ref="C14:K14"/>
    <mergeCell ref="C15:K15"/>
    <mergeCell ref="C16:K16"/>
    <mergeCell ref="C18:K18"/>
    <mergeCell ref="C23:K23"/>
    <mergeCell ref="C7:K7"/>
    <mergeCell ref="C8:K8"/>
    <mergeCell ref="C10:K10"/>
    <mergeCell ref="C12:K12"/>
    <mergeCell ref="C9:K9"/>
    <mergeCell ref="C11:K11"/>
    <mergeCell ref="A1:G1"/>
    <mergeCell ref="C6:K6"/>
    <mergeCell ref="C4:K4"/>
    <mergeCell ref="C5:K5"/>
    <mergeCell ref="C3:K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workbookViewId="0">
      <selection activeCell="H12" sqref="H12"/>
    </sheetView>
  </sheetViews>
  <sheetFormatPr defaultRowHeight="15" x14ac:dyDescent="0.25"/>
  <cols>
    <col min="1" max="1" width="24.28515625" customWidth="1"/>
    <col min="2" max="2" width="17.140625" customWidth="1"/>
    <col min="5" max="5" width="13.42578125" customWidth="1"/>
    <col min="6" max="6" width="14.7109375" customWidth="1"/>
    <col min="7" max="7" width="11" customWidth="1"/>
    <col min="8" max="8" width="16.140625" customWidth="1"/>
  </cols>
  <sheetData>
    <row r="1" spans="1:8" x14ac:dyDescent="0.25">
      <c r="A1" s="129" t="s">
        <v>243</v>
      </c>
      <c r="B1" s="130"/>
      <c r="C1" s="130"/>
      <c r="D1" s="130"/>
      <c r="E1" s="131"/>
    </row>
    <row r="2" spans="1:8" x14ac:dyDescent="0.25">
      <c r="A2" s="104" t="s">
        <v>284</v>
      </c>
      <c r="B2" s="104" t="s">
        <v>285</v>
      </c>
      <c r="C2" s="128" t="s">
        <v>286</v>
      </c>
      <c r="D2" s="128"/>
      <c r="E2" s="128"/>
    </row>
    <row r="3" spans="1:8" x14ac:dyDescent="0.25">
      <c r="A3" s="10" t="s">
        <v>296</v>
      </c>
      <c r="B3" s="10" t="s">
        <v>287</v>
      </c>
      <c r="C3" s="105">
        <v>50</v>
      </c>
      <c r="D3" s="105">
        <v>75</v>
      </c>
      <c r="E3" s="26">
        <f>C3+D3</f>
        <v>125</v>
      </c>
    </row>
    <row r="4" spans="1:8" x14ac:dyDescent="0.25">
      <c r="A4" s="10" t="s">
        <v>295</v>
      </c>
      <c r="B4" s="10" t="s">
        <v>288</v>
      </c>
      <c r="C4" s="105">
        <v>50</v>
      </c>
      <c r="D4" s="105">
        <v>45</v>
      </c>
      <c r="E4" s="26">
        <f>C4-D4</f>
        <v>5</v>
      </c>
    </row>
    <row r="5" spans="1:8" x14ac:dyDescent="0.25">
      <c r="A5" s="10" t="s">
        <v>294</v>
      </c>
      <c r="B5" s="10" t="s">
        <v>289</v>
      </c>
      <c r="C5" s="105">
        <v>50</v>
      </c>
      <c r="D5" s="105">
        <v>5</v>
      </c>
      <c r="E5" s="26">
        <f>C5*D5</f>
        <v>250</v>
      </c>
    </row>
    <row r="6" spans="1:8" x14ac:dyDescent="0.25">
      <c r="A6" s="10" t="s">
        <v>293</v>
      </c>
      <c r="B6" s="10" t="s">
        <v>290</v>
      </c>
      <c r="C6" s="105">
        <v>50</v>
      </c>
      <c r="D6" s="105">
        <v>4</v>
      </c>
      <c r="E6" s="26">
        <f>C6/D6</f>
        <v>12.5</v>
      </c>
    </row>
    <row r="7" spans="1:8" x14ac:dyDescent="0.25">
      <c r="A7" s="10" t="s">
        <v>292</v>
      </c>
      <c r="B7" s="10" t="s">
        <v>291</v>
      </c>
      <c r="C7" s="105">
        <v>5000</v>
      </c>
      <c r="D7" s="105">
        <v>12</v>
      </c>
      <c r="E7" s="26">
        <f>C7*D7%</f>
        <v>600</v>
      </c>
    </row>
    <row r="8" spans="1:8" x14ac:dyDescent="0.25">
      <c r="A8" s="10" t="s">
        <v>297</v>
      </c>
      <c r="B8" s="10" t="s">
        <v>312</v>
      </c>
      <c r="C8" s="105">
        <v>4</v>
      </c>
      <c r="D8" s="105">
        <v>4</v>
      </c>
      <c r="E8" s="26">
        <f>C8^D8</f>
        <v>256</v>
      </c>
      <c r="G8">
        <f>4*4*4*4</f>
        <v>256</v>
      </c>
    </row>
    <row r="11" spans="1:8" x14ac:dyDescent="0.25">
      <c r="A11" s="10" t="s">
        <v>298</v>
      </c>
      <c r="B11" s="10" t="s">
        <v>3</v>
      </c>
      <c r="C11" s="10" t="s">
        <v>36</v>
      </c>
      <c r="D11" s="10" t="s">
        <v>299</v>
      </c>
      <c r="E11" s="10" t="s">
        <v>300</v>
      </c>
      <c r="F11" s="10" t="s">
        <v>301</v>
      </c>
      <c r="G11" s="10" t="s">
        <v>302</v>
      </c>
      <c r="H11" s="10" t="s">
        <v>303</v>
      </c>
    </row>
    <row r="12" spans="1:8" ht="16.5" x14ac:dyDescent="0.25">
      <c r="A12" s="108" t="s">
        <v>305</v>
      </c>
      <c r="B12" s="95">
        <v>58</v>
      </c>
      <c r="C12" s="95">
        <v>10</v>
      </c>
      <c r="D12" s="95">
        <f>B12*C12</f>
        <v>580</v>
      </c>
      <c r="E12" s="95">
        <f>D12*12.5%</f>
        <v>72.5</v>
      </c>
      <c r="F12" s="95">
        <f>D12+E12</f>
        <v>652.5</v>
      </c>
      <c r="G12" s="95">
        <f>F12*10%</f>
        <v>65.25</v>
      </c>
      <c r="H12" s="95">
        <f>F12-G12</f>
        <v>587.25</v>
      </c>
    </row>
    <row r="13" spans="1:8" ht="16.5" x14ac:dyDescent="0.25">
      <c r="A13" s="108" t="s">
        <v>306</v>
      </c>
      <c r="B13" s="95">
        <v>63</v>
      </c>
      <c r="C13" s="95">
        <v>20</v>
      </c>
      <c r="D13" s="95">
        <f t="shared" ref="D13:D18" si="0">B13*C13</f>
        <v>1260</v>
      </c>
      <c r="E13" s="95">
        <f t="shared" ref="E13:E18" si="1">D13*12.5%</f>
        <v>157.5</v>
      </c>
      <c r="F13" s="95">
        <f t="shared" ref="F13:F18" si="2">D13+E13</f>
        <v>1417.5</v>
      </c>
      <c r="G13" s="95">
        <f t="shared" ref="G13:G17" si="3">F13*10%</f>
        <v>141.75</v>
      </c>
      <c r="H13" s="95">
        <f t="shared" ref="H13:H18" si="4">F13-G13</f>
        <v>1275.75</v>
      </c>
    </row>
    <row r="14" spans="1:8" ht="16.5" x14ac:dyDescent="0.25">
      <c r="A14" s="108" t="s">
        <v>304</v>
      </c>
      <c r="B14" s="95">
        <v>21</v>
      </c>
      <c r="C14" s="95">
        <v>5</v>
      </c>
      <c r="D14" s="95">
        <f t="shared" si="0"/>
        <v>105</v>
      </c>
      <c r="E14" s="95">
        <f t="shared" si="1"/>
        <v>13.125</v>
      </c>
      <c r="F14" s="95">
        <f t="shared" si="2"/>
        <v>118.125</v>
      </c>
      <c r="G14" s="95">
        <f t="shared" si="3"/>
        <v>11.8125</v>
      </c>
      <c r="H14" s="95">
        <f t="shared" si="4"/>
        <v>106.3125</v>
      </c>
    </row>
    <row r="15" spans="1:8" ht="16.5" x14ac:dyDescent="0.25">
      <c r="A15" s="108" t="s">
        <v>307</v>
      </c>
      <c r="B15" s="95">
        <v>55</v>
      </c>
      <c r="C15" s="95">
        <v>12</v>
      </c>
      <c r="D15" s="95">
        <f t="shared" si="0"/>
        <v>660</v>
      </c>
      <c r="E15" s="95">
        <f t="shared" si="1"/>
        <v>82.5</v>
      </c>
      <c r="F15" s="95">
        <f t="shared" si="2"/>
        <v>742.5</v>
      </c>
      <c r="G15" s="95">
        <f t="shared" si="3"/>
        <v>74.25</v>
      </c>
      <c r="H15" s="95">
        <f t="shared" si="4"/>
        <v>668.25</v>
      </c>
    </row>
    <row r="16" spans="1:8" ht="16.5" x14ac:dyDescent="0.25">
      <c r="A16" s="108" t="s">
        <v>308</v>
      </c>
      <c r="B16" s="95">
        <v>63</v>
      </c>
      <c r="C16" s="95">
        <v>18</v>
      </c>
      <c r="D16" s="95">
        <f t="shared" si="0"/>
        <v>1134</v>
      </c>
      <c r="E16" s="95">
        <f t="shared" si="1"/>
        <v>141.75</v>
      </c>
      <c r="F16" s="95">
        <f t="shared" si="2"/>
        <v>1275.75</v>
      </c>
      <c r="G16" s="95">
        <f t="shared" si="3"/>
        <v>127.575</v>
      </c>
      <c r="H16" s="95">
        <f t="shared" si="4"/>
        <v>1148.175</v>
      </c>
    </row>
    <row r="17" spans="1:8" ht="16.5" x14ac:dyDescent="0.25">
      <c r="A17" s="108" t="s">
        <v>309</v>
      </c>
      <c r="B17" s="95">
        <v>21</v>
      </c>
      <c r="C17" s="95">
        <v>13</v>
      </c>
      <c r="D17" s="95">
        <f t="shared" si="0"/>
        <v>273</v>
      </c>
      <c r="E17" s="95">
        <f t="shared" si="1"/>
        <v>34.125</v>
      </c>
      <c r="F17" s="95">
        <f t="shared" si="2"/>
        <v>307.125</v>
      </c>
      <c r="G17" s="95">
        <f t="shared" si="3"/>
        <v>30.712500000000002</v>
      </c>
      <c r="H17" s="95">
        <f t="shared" si="4"/>
        <v>276.41250000000002</v>
      </c>
    </row>
    <row r="18" spans="1:8" ht="16.5" x14ac:dyDescent="0.25">
      <c r="A18" s="108" t="s">
        <v>310</v>
      </c>
      <c r="B18" s="95">
        <v>45</v>
      </c>
      <c r="C18" s="95">
        <v>11</v>
      </c>
      <c r="D18" s="95">
        <f t="shared" si="0"/>
        <v>495</v>
      </c>
      <c r="E18" s="95">
        <f t="shared" si="1"/>
        <v>61.875</v>
      </c>
      <c r="F18" s="95">
        <f t="shared" si="2"/>
        <v>556.875</v>
      </c>
      <c r="G18" s="95">
        <f>F18*10%</f>
        <v>55.6875</v>
      </c>
      <c r="H18" s="95">
        <f t="shared" si="4"/>
        <v>501.1875</v>
      </c>
    </row>
    <row r="32" spans="1:8" ht="16.5" x14ac:dyDescent="0.25">
      <c r="A32" s="107"/>
    </row>
    <row r="33" spans="1:1" ht="16.5" x14ac:dyDescent="0.25">
      <c r="A33" s="107"/>
    </row>
    <row r="34" spans="1:1" ht="16.5" x14ac:dyDescent="0.25">
      <c r="A34" s="107"/>
    </row>
    <row r="35" spans="1:1" ht="16.5" x14ac:dyDescent="0.25">
      <c r="A35" s="107"/>
    </row>
    <row r="36" spans="1:1" ht="16.5" x14ac:dyDescent="0.25">
      <c r="A36" s="107"/>
    </row>
    <row r="37" spans="1:1" ht="16.5" x14ac:dyDescent="0.25">
      <c r="A37" s="107"/>
    </row>
    <row r="38" spans="1:1" ht="16.5" x14ac:dyDescent="0.25">
      <c r="A38" s="107"/>
    </row>
  </sheetData>
  <mergeCells count="2">
    <mergeCell ref="C2:E2"/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workbookViewId="0">
      <selection activeCell="G16" sqref="G16"/>
    </sheetView>
  </sheetViews>
  <sheetFormatPr defaultRowHeight="15" x14ac:dyDescent="0.25"/>
  <sheetData>
    <row r="1" spans="1:11" x14ac:dyDescent="0.25">
      <c r="A1" t="s">
        <v>313</v>
      </c>
      <c r="B1" t="s">
        <v>314</v>
      </c>
      <c r="C1" t="s">
        <v>315</v>
      </c>
      <c r="D1" t="s">
        <v>316</v>
      </c>
      <c r="E1" t="s">
        <v>317</v>
      </c>
      <c r="F1" t="s">
        <v>318</v>
      </c>
      <c r="G1" t="s">
        <v>319</v>
      </c>
      <c r="H1" t="s">
        <v>320</v>
      </c>
      <c r="I1" t="s">
        <v>321</v>
      </c>
      <c r="J1" t="s">
        <v>322</v>
      </c>
      <c r="K1" t="s">
        <v>323</v>
      </c>
    </row>
    <row r="2" spans="1:11" x14ac:dyDescent="0.25">
      <c r="A2" t="s">
        <v>324</v>
      </c>
      <c r="B2">
        <v>23</v>
      </c>
      <c r="C2">
        <v>32</v>
      </c>
      <c r="D2">
        <v>45</v>
      </c>
      <c r="E2">
        <v>65</v>
      </c>
      <c r="F2">
        <v>66</v>
      </c>
      <c r="G2">
        <v>36</v>
      </c>
      <c r="H2">
        <f>SUM(B2:G2)</f>
        <v>267</v>
      </c>
      <c r="I2">
        <f>AVERAGE(B2:G2)</f>
        <v>44.5</v>
      </c>
      <c r="J2">
        <f>MAX(B2:G2)</f>
        <v>66</v>
      </c>
      <c r="K2">
        <f>MIN(B2:G2)</f>
        <v>23</v>
      </c>
    </row>
    <row r="3" spans="1:11" x14ac:dyDescent="0.25">
      <c r="A3" t="s">
        <v>325</v>
      </c>
      <c r="B3">
        <v>21</v>
      </c>
      <c r="C3">
        <v>51</v>
      </c>
      <c r="D3">
        <v>89</v>
      </c>
      <c r="E3">
        <v>32</v>
      </c>
      <c r="F3">
        <v>23</v>
      </c>
      <c r="G3">
        <v>52</v>
      </c>
      <c r="H3">
        <f t="shared" ref="H3:H8" si="0">SUM(B3:G3)</f>
        <v>268</v>
      </c>
      <c r="I3">
        <f t="shared" ref="I3:I8" si="1">AVERAGE(B3:G3)</f>
        <v>44.666666666666664</v>
      </c>
      <c r="J3">
        <f t="shared" ref="J3:J8" si="2">MAX(B3:G3)</f>
        <v>89</v>
      </c>
      <c r="K3">
        <f t="shared" ref="K3:K8" si="3">MIN(B3:G3)</f>
        <v>21</v>
      </c>
    </row>
    <row r="4" spans="1:11" x14ac:dyDescent="0.25">
      <c r="A4" t="s">
        <v>326</v>
      </c>
      <c r="B4">
        <v>45</v>
      </c>
      <c r="C4">
        <v>45</v>
      </c>
      <c r="D4">
        <v>65</v>
      </c>
      <c r="E4">
        <v>12</v>
      </c>
      <c r="F4">
        <v>21</v>
      </c>
      <c r="G4">
        <v>41</v>
      </c>
      <c r="H4">
        <f t="shared" si="0"/>
        <v>229</v>
      </c>
      <c r="I4">
        <f t="shared" si="1"/>
        <v>38.166666666666664</v>
      </c>
      <c r="J4">
        <f t="shared" si="2"/>
        <v>65</v>
      </c>
      <c r="K4">
        <f t="shared" si="3"/>
        <v>12</v>
      </c>
    </row>
    <row r="5" spans="1:11" x14ac:dyDescent="0.25">
      <c r="A5" t="s">
        <v>327</v>
      </c>
      <c r="B5">
        <v>68</v>
      </c>
      <c r="C5">
        <v>63</v>
      </c>
      <c r="D5">
        <v>85</v>
      </c>
      <c r="E5">
        <v>45</v>
      </c>
      <c r="F5">
        <v>45</v>
      </c>
      <c r="G5">
        <v>25</v>
      </c>
      <c r="H5">
        <f t="shared" si="0"/>
        <v>331</v>
      </c>
      <c r="I5">
        <f t="shared" si="1"/>
        <v>55.166666666666664</v>
      </c>
      <c r="J5">
        <f t="shared" si="2"/>
        <v>85</v>
      </c>
      <c r="K5">
        <f t="shared" si="3"/>
        <v>25</v>
      </c>
    </row>
    <row r="6" spans="1:11" x14ac:dyDescent="0.25">
      <c r="A6" t="s">
        <v>328</v>
      </c>
      <c r="B6">
        <v>87</v>
      </c>
      <c r="C6">
        <v>26</v>
      </c>
      <c r="D6">
        <v>45</v>
      </c>
      <c r="E6">
        <v>87</v>
      </c>
      <c r="F6">
        <v>87</v>
      </c>
      <c r="G6">
        <v>62</v>
      </c>
      <c r="H6">
        <f t="shared" si="0"/>
        <v>394</v>
      </c>
      <c r="I6">
        <f t="shared" si="1"/>
        <v>65.666666666666671</v>
      </c>
      <c r="J6">
        <f t="shared" si="2"/>
        <v>87</v>
      </c>
      <c r="K6">
        <f t="shared" si="3"/>
        <v>26</v>
      </c>
    </row>
    <row r="7" spans="1:11" x14ac:dyDescent="0.25">
      <c r="A7" t="s">
        <v>329</v>
      </c>
      <c r="B7">
        <v>45</v>
      </c>
      <c r="C7">
        <v>54</v>
      </c>
      <c r="D7">
        <v>87</v>
      </c>
      <c r="E7">
        <v>85</v>
      </c>
      <c r="F7">
        <v>88</v>
      </c>
      <c r="G7">
        <v>36</v>
      </c>
      <c r="H7">
        <f t="shared" si="0"/>
        <v>395</v>
      </c>
      <c r="I7">
        <f t="shared" si="1"/>
        <v>65.833333333333329</v>
      </c>
      <c r="J7">
        <f t="shared" si="2"/>
        <v>88</v>
      </c>
      <c r="K7">
        <f t="shared" si="3"/>
        <v>36</v>
      </c>
    </row>
    <row r="8" spans="1:11" x14ac:dyDescent="0.25">
      <c r="A8" t="s">
        <v>330</v>
      </c>
      <c r="B8">
        <v>96</v>
      </c>
      <c r="C8">
        <v>55</v>
      </c>
      <c r="D8">
        <v>65</v>
      </c>
      <c r="E8">
        <v>65</v>
      </c>
      <c r="F8">
        <v>94</v>
      </c>
      <c r="G8">
        <v>57</v>
      </c>
      <c r="H8">
        <f t="shared" si="0"/>
        <v>432</v>
      </c>
      <c r="I8">
        <f t="shared" si="1"/>
        <v>72</v>
      </c>
      <c r="J8">
        <f t="shared" si="2"/>
        <v>96</v>
      </c>
      <c r="K8">
        <f t="shared" si="3"/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4"/>
  <sheetViews>
    <sheetView workbookViewId="0">
      <selection activeCell="G3" sqref="G3"/>
    </sheetView>
  </sheetViews>
  <sheetFormatPr defaultRowHeight="15" x14ac:dyDescent="0.25"/>
  <cols>
    <col min="1" max="1" width="14.5703125" customWidth="1"/>
    <col min="2" max="2" width="23.28515625" bestFit="1" customWidth="1"/>
    <col min="3" max="3" width="14.5703125" customWidth="1"/>
    <col min="4" max="4" width="12.5703125" customWidth="1"/>
    <col min="5" max="5" width="16.5703125" customWidth="1"/>
    <col min="6" max="6" width="13.28515625" bestFit="1" customWidth="1"/>
    <col min="7" max="7" width="15.28515625" bestFit="1" customWidth="1"/>
  </cols>
  <sheetData>
    <row r="1" spans="1:7" ht="18.75" x14ac:dyDescent="0.3">
      <c r="A1" s="135" t="s">
        <v>158</v>
      </c>
      <c r="B1" s="135"/>
      <c r="C1" s="135"/>
      <c r="D1" s="135"/>
      <c r="E1" s="135"/>
    </row>
    <row r="2" spans="1:7" x14ac:dyDescent="0.25">
      <c r="A2" s="68" t="s">
        <v>159</v>
      </c>
      <c r="B2" s="69" t="s">
        <v>160</v>
      </c>
      <c r="C2" s="132" t="str">
        <f>UPPER(B2)</f>
        <v>KEERTI</v>
      </c>
      <c r="D2" s="132"/>
      <c r="E2" s="69"/>
    </row>
    <row r="3" spans="1:7" x14ac:dyDescent="0.25">
      <c r="A3" s="68" t="s">
        <v>161</v>
      </c>
      <c r="B3" s="69" t="s">
        <v>162</v>
      </c>
      <c r="C3" s="132" t="str">
        <f>LOWER(B3)</f>
        <v>keerti</v>
      </c>
      <c r="D3" s="132"/>
      <c r="E3" s="69"/>
      <c r="F3" t="s">
        <v>339</v>
      </c>
      <c r="G3" t="str">
        <f>SUBSTITUTE(F3,"jaggery","mustard")</f>
        <v>mustard 500 gm</v>
      </c>
    </row>
    <row r="4" spans="1:7" x14ac:dyDescent="0.25">
      <c r="A4" s="68" t="s">
        <v>163</v>
      </c>
      <c r="B4" s="69" t="s">
        <v>160</v>
      </c>
      <c r="C4" s="132" t="str">
        <f>PROPER(B4)</f>
        <v>Keerti</v>
      </c>
      <c r="D4" s="132"/>
      <c r="E4" s="69"/>
      <c r="F4" t="s">
        <v>340</v>
      </c>
      <c r="G4" t="str">
        <f t="shared" ref="G4:G6" si="0">SUBSTITUTE(F4,"jaggery","mustard")</f>
        <v>mustard 250 gm</v>
      </c>
    </row>
    <row r="5" spans="1:7" x14ac:dyDescent="0.25">
      <c r="A5" s="68" t="s">
        <v>164</v>
      </c>
      <c r="B5" s="70" t="s">
        <v>165</v>
      </c>
      <c r="C5" s="132" t="str">
        <f>LEFT(B5,4)</f>
        <v>VAIS</v>
      </c>
      <c r="D5" s="132"/>
      <c r="E5" s="69"/>
      <c r="F5" t="s">
        <v>341</v>
      </c>
      <c r="G5" t="str">
        <f t="shared" si="0"/>
        <v>mustard 600 gm</v>
      </c>
    </row>
    <row r="6" spans="1:7" x14ac:dyDescent="0.25">
      <c r="A6" s="68" t="s">
        <v>166</v>
      </c>
      <c r="B6" s="70" t="s">
        <v>165</v>
      </c>
      <c r="C6" s="132" t="str">
        <f>RIGHT(B6,4)</f>
        <v>NAVI</v>
      </c>
      <c r="D6" s="132"/>
      <c r="E6" s="69"/>
      <c r="F6" t="s">
        <v>342</v>
      </c>
      <c r="G6" t="str">
        <f t="shared" si="0"/>
        <v>mustard 800 gm</v>
      </c>
    </row>
    <row r="7" spans="1:7" x14ac:dyDescent="0.25">
      <c r="A7" s="68" t="s">
        <v>167</v>
      </c>
      <c r="B7" s="70" t="s">
        <v>165</v>
      </c>
      <c r="C7" s="132" t="str">
        <f>MID(B7,4,4)</f>
        <v>SHNA</v>
      </c>
      <c r="D7" s="132"/>
      <c r="E7" s="69"/>
    </row>
    <row r="8" spans="1:7" x14ac:dyDescent="0.25">
      <c r="A8" s="68" t="s">
        <v>168</v>
      </c>
      <c r="B8" s="69" t="s">
        <v>169</v>
      </c>
      <c r="C8" s="132" t="str">
        <f>SUBSTITUTE(B8,"VAISHANVI","TEJASVI")</f>
        <v>TEJASVI SHIGVAN</v>
      </c>
      <c r="D8" s="132"/>
      <c r="E8" s="69"/>
      <c r="F8" t="s">
        <v>339</v>
      </c>
      <c r="G8" t="str">
        <f>REPLACE(F8,9,9,"ruchiyana")</f>
        <v>jaggery ruchiyana</v>
      </c>
    </row>
    <row r="9" spans="1:7" x14ac:dyDescent="0.25">
      <c r="A9" s="68" t="s">
        <v>170</v>
      </c>
      <c r="B9" s="69" t="s">
        <v>165</v>
      </c>
      <c r="C9" s="69" t="str">
        <f>REPLACE(B9,6,6,"NODEVI")</f>
        <v>VAISHNODEVI</v>
      </c>
      <c r="D9" s="69"/>
      <c r="E9" s="69"/>
      <c r="F9" t="s">
        <v>340</v>
      </c>
      <c r="G9" t="str">
        <f t="shared" ref="G9:G11" si="1">REPLACE(F9,9,9,"ruchiyana")</f>
        <v>jaggery ruchiyana</v>
      </c>
    </row>
    <row r="10" spans="1:7" x14ac:dyDescent="0.25">
      <c r="A10" s="133" t="s">
        <v>171</v>
      </c>
      <c r="B10" s="69" t="s">
        <v>172</v>
      </c>
      <c r="C10" s="69" t="str">
        <f>CONCATENATE(B10,B11)</f>
        <v>AMITSHIGVAN</v>
      </c>
      <c r="D10" s="69"/>
      <c r="E10" s="69"/>
      <c r="F10" t="s">
        <v>341</v>
      </c>
      <c r="G10" t="str">
        <f t="shared" si="1"/>
        <v>jaggery ruchiyana</v>
      </c>
    </row>
    <row r="11" spans="1:7" x14ac:dyDescent="0.25">
      <c r="A11" s="133"/>
      <c r="B11" s="69" t="s">
        <v>173</v>
      </c>
      <c r="C11" s="69" t="str">
        <f>CONCATENATE(B10," ",B11)</f>
        <v>AMIT SHIGVAN</v>
      </c>
      <c r="D11" s="69"/>
      <c r="E11" s="69"/>
      <c r="F11" t="s">
        <v>342</v>
      </c>
      <c r="G11" t="str">
        <f t="shared" si="1"/>
        <v>jaggery ruchiyana</v>
      </c>
    </row>
    <row r="12" spans="1:7" x14ac:dyDescent="0.25">
      <c r="A12" s="68" t="s">
        <v>174</v>
      </c>
      <c r="B12" s="69" t="s">
        <v>175</v>
      </c>
      <c r="C12" s="69">
        <f>SEARCH("J",B12)</f>
        <v>3</v>
      </c>
      <c r="D12" s="69"/>
      <c r="E12" s="69"/>
    </row>
    <row r="13" spans="1:7" x14ac:dyDescent="0.25">
      <c r="A13" s="68" t="s">
        <v>176</v>
      </c>
      <c r="B13" s="69" t="s">
        <v>175</v>
      </c>
      <c r="C13" s="69">
        <f>FIND("J",B13)</f>
        <v>3</v>
      </c>
      <c r="D13" s="69"/>
      <c r="E13" s="69"/>
    </row>
    <row r="14" spans="1:7" x14ac:dyDescent="0.25">
      <c r="A14" s="68" t="s">
        <v>177</v>
      </c>
      <c r="B14" s="69" t="s">
        <v>175</v>
      </c>
      <c r="C14" s="69">
        <f>LEN(B14)</f>
        <v>8</v>
      </c>
      <c r="D14" s="69"/>
      <c r="E14" s="69"/>
    </row>
    <row r="15" spans="1:7" x14ac:dyDescent="0.25">
      <c r="A15" s="68" t="s">
        <v>178</v>
      </c>
      <c r="B15" s="69" t="s">
        <v>179</v>
      </c>
      <c r="C15" s="69" t="str">
        <f>TRIM(B15)</f>
        <v>RAJ KUMAR</v>
      </c>
      <c r="D15" s="69"/>
      <c r="E15" s="69"/>
    </row>
    <row r="16" spans="1:7" x14ac:dyDescent="0.25">
      <c r="A16" s="134" t="s">
        <v>180</v>
      </c>
      <c r="B16" s="69" t="s">
        <v>181</v>
      </c>
      <c r="C16" s="69" t="str">
        <f>B16&amp;B17</f>
        <v>RAJKIRAN</v>
      </c>
      <c r="D16" s="69"/>
      <c r="E16" s="69"/>
    </row>
    <row r="17" spans="1:5" x14ac:dyDescent="0.25">
      <c r="A17" s="134"/>
      <c r="B17" s="106" t="s">
        <v>182</v>
      </c>
      <c r="C17" s="69" t="str">
        <f>B16&amp;" "&amp;B17</f>
        <v>RAJ KIRAN</v>
      </c>
      <c r="D17" s="69"/>
      <c r="E17" s="69"/>
    </row>
    <row r="19" spans="1:5" x14ac:dyDescent="0.25">
      <c r="A19" s="68" t="s">
        <v>343</v>
      </c>
      <c r="B19" s="68" t="s">
        <v>349</v>
      </c>
    </row>
    <row r="20" spans="1:5" x14ac:dyDescent="0.25">
      <c r="A20" t="s">
        <v>344</v>
      </c>
      <c r="B20" t="str">
        <f>LEFT(A20,FIND(" ",A20)-1)</f>
        <v>amit</v>
      </c>
    </row>
    <row r="21" spans="1:5" x14ac:dyDescent="0.25">
      <c r="A21" t="s">
        <v>345</v>
      </c>
      <c r="B21" t="str">
        <f t="shared" ref="B21:B24" si="2">LEFT(A21,FIND(" ",A21)-1)</f>
        <v>rohit</v>
      </c>
    </row>
    <row r="22" spans="1:5" x14ac:dyDescent="0.25">
      <c r="A22" t="s">
        <v>346</v>
      </c>
      <c r="B22" t="str">
        <f t="shared" si="2"/>
        <v>nisha</v>
      </c>
    </row>
    <row r="23" spans="1:5" x14ac:dyDescent="0.25">
      <c r="A23" t="s">
        <v>347</v>
      </c>
      <c r="B23" t="str">
        <f t="shared" si="2"/>
        <v>amay</v>
      </c>
    </row>
    <row r="24" spans="1:5" x14ac:dyDescent="0.25">
      <c r="A24" t="s">
        <v>348</v>
      </c>
      <c r="B24" t="str">
        <f t="shared" si="2"/>
        <v>john</v>
      </c>
    </row>
  </sheetData>
  <mergeCells count="10">
    <mergeCell ref="C7:D7"/>
    <mergeCell ref="C8:D8"/>
    <mergeCell ref="A10:A11"/>
    <mergeCell ref="A16:A17"/>
    <mergeCell ref="A1:E1"/>
    <mergeCell ref="C2:D2"/>
    <mergeCell ref="C3:D3"/>
    <mergeCell ref="C4:D4"/>
    <mergeCell ref="C5:D5"/>
    <mergeCell ref="C6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L79"/>
  <sheetViews>
    <sheetView topLeftCell="A49" workbookViewId="0">
      <selection activeCell="D60" sqref="D60"/>
    </sheetView>
  </sheetViews>
  <sheetFormatPr defaultRowHeight="15" x14ac:dyDescent="0.25"/>
  <cols>
    <col min="1" max="1" width="17.140625" customWidth="1"/>
    <col min="2" max="2" width="19.5703125" customWidth="1"/>
    <col min="3" max="3" width="5.7109375" customWidth="1"/>
    <col min="4" max="4" width="15.140625" customWidth="1"/>
    <col min="5" max="5" width="10.7109375" customWidth="1"/>
    <col min="6" max="6" width="11" bestFit="1" customWidth="1"/>
    <col min="7" max="7" width="11" customWidth="1"/>
    <col min="9" max="9" width="13.140625" customWidth="1"/>
    <col min="11" max="12" width="10.5703125" bestFit="1" customWidth="1"/>
  </cols>
  <sheetData>
    <row r="3" spans="1:7" x14ac:dyDescent="0.25">
      <c r="A3" s="136" t="s">
        <v>183</v>
      </c>
      <c r="B3" s="136"/>
    </row>
    <row r="4" spans="1:7" x14ac:dyDescent="0.25">
      <c r="A4" s="71" t="s">
        <v>184</v>
      </c>
      <c r="B4" s="71" t="s">
        <v>185</v>
      </c>
    </row>
    <row r="5" spans="1:7" x14ac:dyDescent="0.25">
      <c r="A5" s="72" t="s">
        <v>186</v>
      </c>
      <c r="B5" s="73"/>
      <c r="C5" s="74" t="s">
        <v>187</v>
      </c>
      <c r="D5" s="75" t="s">
        <v>188</v>
      </c>
      <c r="E5" s="76"/>
    </row>
    <row r="6" spans="1:7" x14ac:dyDescent="0.25">
      <c r="A6" s="72" t="s">
        <v>189</v>
      </c>
      <c r="B6" s="77"/>
      <c r="C6" s="74" t="s">
        <v>187</v>
      </c>
      <c r="D6" s="78" t="s">
        <v>190</v>
      </c>
    </row>
    <row r="9" spans="1:7" ht="15.75" x14ac:dyDescent="0.25">
      <c r="A9" s="137" t="s">
        <v>191</v>
      </c>
      <c r="B9" s="137"/>
    </row>
    <row r="10" spans="1:7" x14ac:dyDescent="0.25">
      <c r="A10" s="71" t="s">
        <v>184</v>
      </c>
      <c r="B10" s="71" t="s">
        <v>185</v>
      </c>
    </row>
    <row r="11" spans="1:7" x14ac:dyDescent="0.25">
      <c r="A11" s="72" t="s">
        <v>192</v>
      </c>
      <c r="B11" s="79">
        <f>DATE(2020,5,12)</f>
        <v>43963</v>
      </c>
      <c r="C11" s="80" t="s">
        <v>187</v>
      </c>
      <c r="D11" s="78" t="s">
        <v>193</v>
      </c>
      <c r="F11" s="76">
        <f>DATE(2022,5,13)</f>
        <v>44694</v>
      </c>
      <c r="G11" s="76"/>
    </row>
    <row r="12" spans="1:7" x14ac:dyDescent="0.25">
      <c r="A12" s="72" t="s">
        <v>194</v>
      </c>
      <c r="B12" s="81">
        <f>TIME(12,30,5)</f>
        <v>0.52089120370370368</v>
      </c>
      <c r="C12" s="80" t="s">
        <v>187</v>
      </c>
      <c r="D12" s="78" t="s">
        <v>195</v>
      </c>
      <c r="F12" s="82">
        <f>TIME(14,25,10)</f>
        <v>0.60081018518518514</v>
      </c>
      <c r="G12" s="82"/>
    </row>
    <row r="14" spans="1:7" x14ac:dyDescent="0.25">
      <c r="A14" s="27" t="s">
        <v>192</v>
      </c>
      <c r="B14" s="83"/>
    </row>
    <row r="15" spans="1:7" x14ac:dyDescent="0.25">
      <c r="A15" s="72" t="s">
        <v>196</v>
      </c>
      <c r="B15" s="72">
        <f>DAY(B11)</f>
        <v>12</v>
      </c>
      <c r="C15" s="74" t="s">
        <v>187</v>
      </c>
      <c r="D15" s="84" t="s">
        <v>196</v>
      </c>
    </row>
    <row r="16" spans="1:7" x14ac:dyDescent="0.25">
      <c r="A16" s="72" t="s">
        <v>197</v>
      </c>
      <c r="B16" s="72">
        <f>MONTH(B11)</f>
        <v>5</v>
      </c>
      <c r="C16" s="74" t="s">
        <v>187</v>
      </c>
      <c r="D16" s="84" t="s">
        <v>197</v>
      </c>
    </row>
    <row r="17" spans="1:7" x14ac:dyDescent="0.25">
      <c r="A17" s="72" t="s">
        <v>198</v>
      </c>
      <c r="B17" s="72">
        <f>YEAR(B11)</f>
        <v>2020</v>
      </c>
      <c r="C17" s="74" t="s">
        <v>187</v>
      </c>
      <c r="D17" s="84" t="s">
        <v>198</v>
      </c>
    </row>
    <row r="19" spans="1:7" x14ac:dyDescent="0.25">
      <c r="A19" s="27" t="s">
        <v>194</v>
      </c>
      <c r="B19" s="83"/>
    </row>
    <row r="20" spans="1:7" x14ac:dyDescent="0.25">
      <c r="A20" s="72" t="s">
        <v>199</v>
      </c>
      <c r="B20" s="72">
        <f>HOUR(B12)</f>
        <v>12</v>
      </c>
      <c r="C20" s="74" t="s">
        <v>187</v>
      </c>
      <c r="D20" s="84" t="s">
        <v>199</v>
      </c>
    </row>
    <row r="21" spans="1:7" x14ac:dyDescent="0.25">
      <c r="A21" s="72" t="s">
        <v>200</v>
      </c>
      <c r="B21" s="72">
        <f>MINUTE(B12)</f>
        <v>30</v>
      </c>
      <c r="C21" s="74" t="s">
        <v>187</v>
      </c>
      <c r="D21" s="84" t="s">
        <v>200</v>
      </c>
    </row>
    <row r="22" spans="1:7" x14ac:dyDescent="0.25">
      <c r="A22" s="72" t="s">
        <v>201</v>
      </c>
      <c r="B22" s="72">
        <f>SECOND(B12)</f>
        <v>5</v>
      </c>
      <c r="C22" s="74" t="s">
        <v>187</v>
      </c>
      <c r="D22" s="84" t="s">
        <v>202</v>
      </c>
    </row>
    <row r="24" spans="1:7" ht="15.75" x14ac:dyDescent="0.25">
      <c r="A24" s="138" t="s">
        <v>203</v>
      </c>
      <c r="B24" s="138"/>
    </row>
    <row r="25" spans="1:7" x14ac:dyDescent="0.25">
      <c r="A25" s="27" t="s">
        <v>204</v>
      </c>
      <c r="B25" s="83">
        <f>DATE(2001,5,12)</f>
        <v>37023</v>
      </c>
    </row>
    <row r="26" spans="1:7" x14ac:dyDescent="0.25">
      <c r="A26" s="27" t="s">
        <v>205</v>
      </c>
      <c r="B26" s="83">
        <f ca="1">TODAY()</f>
        <v>45829</v>
      </c>
    </row>
    <row r="27" spans="1:7" x14ac:dyDescent="0.25">
      <c r="A27" s="139" t="s">
        <v>206</v>
      </c>
      <c r="B27" s="139"/>
      <c r="D27" s="85"/>
      <c r="E27" s="85"/>
      <c r="F27" s="85"/>
      <c r="G27" s="85"/>
    </row>
    <row r="28" spans="1:7" x14ac:dyDescent="0.25">
      <c r="A28" s="72" t="s">
        <v>198</v>
      </c>
      <c r="B28" s="72">
        <f ca="1">DATEDIF(B25,B26,"y")</f>
        <v>24</v>
      </c>
      <c r="C28" s="74" t="s">
        <v>187</v>
      </c>
      <c r="D28" s="86" t="s">
        <v>207</v>
      </c>
      <c r="E28" s="85"/>
      <c r="F28" s="85">
        <f ca="1">DATEDIF(B25,B26,"y")</f>
        <v>24</v>
      </c>
      <c r="G28" s="85"/>
    </row>
    <row r="29" spans="1:7" x14ac:dyDescent="0.25">
      <c r="A29" s="72" t="s">
        <v>197</v>
      </c>
      <c r="B29" s="72">
        <f ca="1">DATEDIF(B25,B26,"m")</f>
        <v>289</v>
      </c>
      <c r="C29" s="74" t="s">
        <v>187</v>
      </c>
      <c r="D29" s="86" t="s">
        <v>208</v>
      </c>
      <c r="E29" s="85"/>
      <c r="F29" s="85">
        <f ca="1">DATEDIF(B25,B26,"m")</f>
        <v>289</v>
      </c>
      <c r="G29" s="85"/>
    </row>
    <row r="30" spans="1:7" x14ac:dyDescent="0.25">
      <c r="A30" s="72" t="s">
        <v>209</v>
      </c>
      <c r="B30" s="72">
        <f ca="1">DATEDIF(B25,B26,"d")</f>
        <v>8806</v>
      </c>
      <c r="C30" s="74" t="s">
        <v>187</v>
      </c>
      <c r="D30" s="86" t="s">
        <v>210</v>
      </c>
      <c r="E30" s="85"/>
      <c r="F30" s="85">
        <f ca="1">DATEDIF(B25,B26,"d")</f>
        <v>8806</v>
      </c>
      <c r="G30" s="85"/>
    </row>
    <row r="31" spans="1:7" x14ac:dyDescent="0.25">
      <c r="D31" s="85"/>
      <c r="E31" s="85"/>
      <c r="F31" s="85"/>
      <c r="G31" s="85"/>
    </row>
    <row r="32" spans="1:7" x14ac:dyDescent="0.25">
      <c r="A32" s="140" t="s">
        <v>211</v>
      </c>
      <c r="B32" s="141"/>
    </row>
    <row r="33" spans="1:9" x14ac:dyDescent="0.25">
      <c r="A33" s="72" t="s">
        <v>198</v>
      </c>
      <c r="B33" s="72">
        <f ca="1">DATEDIF(B25,B26,"Y")</f>
        <v>24</v>
      </c>
      <c r="C33" s="74" t="s">
        <v>187</v>
      </c>
      <c r="D33" s="86" t="s">
        <v>207</v>
      </c>
      <c r="E33" s="85"/>
      <c r="F33" s="85"/>
      <c r="G33" s="85"/>
    </row>
    <row r="34" spans="1:9" x14ac:dyDescent="0.25">
      <c r="A34" s="72" t="s">
        <v>197</v>
      </c>
      <c r="B34" s="72">
        <f ca="1">DATEDIF(B25,B26,"YM")</f>
        <v>1</v>
      </c>
      <c r="C34" s="74" t="s">
        <v>187</v>
      </c>
      <c r="D34" s="86" t="s">
        <v>212</v>
      </c>
      <c r="E34" s="85"/>
      <c r="F34" s="85">
        <f ca="1">DATEDIF(B25,B26,"ym")</f>
        <v>1</v>
      </c>
      <c r="G34" s="85"/>
    </row>
    <row r="35" spans="1:9" x14ac:dyDescent="0.25">
      <c r="A35" s="72" t="s">
        <v>209</v>
      </c>
      <c r="B35" s="72">
        <f ca="1">DATEDIF(B25,B26,"MD")</f>
        <v>9</v>
      </c>
      <c r="C35" s="74" t="s">
        <v>187</v>
      </c>
      <c r="D35" s="86" t="s">
        <v>213</v>
      </c>
      <c r="E35" s="85"/>
      <c r="F35" s="85">
        <f ca="1">DATEDIF(B25,B26,"md")</f>
        <v>9</v>
      </c>
      <c r="G35" s="85"/>
    </row>
    <row r="38" spans="1:9" ht="34.5" customHeight="1" x14ac:dyDescent="0.25">
      <c r="A38" s="153" t="s">
        <v>214</v>
      </c>
      <c r="B38" s="153"/>
      <c r="D38" s="147" t="s">
        <v>215</v>
      </c>
      <c r="E38" s="148"/>
      <c r="F38" s="149"/>
      <c r="G38" s="113"/>
    </row>
    <row r="39" spans="1:9" x14ac:dyDescent="0.25">
      <c r="A39" s="87" t="s">
        <v>216</v>
      </c>
      <c r="B39" s="88" t="s">
        <v>217</v>
      </c>
    </row>
    <row r="40" spans="1:9" x14ac:dyDescent="0.25">
      <c r="A40" s="89">
        <f>DATE(2019,10,1)</f>
        <v>43739</v>
      </c>
      <c r="B40" s="90">
        <f>DATE(2019,12,31)</f>
        <v>43830</v>
      </c>
      <c r="D40" s="72">
        <f>NETWORKDAYS(A40,B40)</f>
        <v>66</v>
      </c>
      <c r="E40" s="91" t="s">
        <v>218</v>
      </c>
      <c r="F40" s="91"/>
      <c r="G40" s="114"/>
      <c r="H40" s="80" t="s">
        <v>187</v>
      </c>
      <c r="I40" t="s">
        <v>350</v>
      </c>
    </row>
    <row r="41" spans="1:9" x14ac:dyDescent="0.25">
      <c r="D41" s="72">
        <f>NETWORKDAYS(A40,B40,A43:B47)</f>
        <v>61</v>
      </c>
      <c r="E41" s="91" t="s">
        <v>219</v>
      </c>
      <c r="F41" s="91"/>
      <c r="G41" s="114"/>
      <c r="H41" s="80" t="s">
        <v>187</v>
      </c>
      <c r="I41" t="s">
        <v>351</v>
      </c>
    </row>
    <row r="42" spans="1:9" x14ac:dyDescent="0.25">
      <c r="A42" s="150" t="s">
        <v>220</v>
      </c>
      <c r="B42" s="150"/>
    </row>
    <row r="43" spans="1:9" x14ac:dyDescent="0.25">
      <c r="A43" s="142">
        <f>DATE(2019,10,10)</f>
        <v>43748</v>
      </c>
      <c r="B43" s="143"/>
      <c r="D43" s="151" t="s">
        <v>221</v>
      </c>
      <c r="E43" s="151"/>
      <c r="F43" s="151"/>
      <c r="G43" s="115"/>
    </row>
    <row r="44" spans="1:9" x14ac:dyDescent="0.25">
      <c r="A44" s="142">
        <f>DATE(2019,10,25)</f>
        <v>43763</v>
      </c>
      <c r="B44" s="143"/>
    </row>
    <row r="45" spans="1:9" x14ac:dyDescent="0.25">
      <c r="A45" s="142">
        <f>DATE(2019,11,12)</f>
        <v>43781</v>
      </c>
      <c r="B45" s="143"/>
      <c r="D45" s="72">
        <f>NETWORKDAYS.INTL(A40,B40,11)</f>
        <v>79</v>
      </c>
      <c r="E45" s="152" t="s">
        <v>218</v>
      </c>
      <c r="F45" s="152"/>
      <c r="G45" s="114"/>
      <c r="H45" s="80" t="s">
        <v>187</v>
      </c>
      <c r="I45" t="s">
        <v>352</v>
      </c>
    </row>
    <row r="46" spans="1:9" x14ac:dyDescent="0.25">
      <c r="A46" s="142">
        <f>DATE(2019,11,36)</f>
        <v>43805</v>
      </c>
      <c r="B46" s="143"/>
      <c r="D46" s="72">
        <f>NETWORKDAYS.INTL(A40,B40,11,A43:B47)</f>
        <v>74</v>
      </c>
      <c r="E46" s="152" t="s">
        <v>219</v>
      </c>
      <c r="F46" s="152"/>
      <c r="G46" s="114"/>
      <c r="H46" s="80" t="s">
        <v>187</v>
      </c>
      <c r="I46" t="s">
        <v>353</v>
      </c>
    </row>
    <row r="47" spans="1:9" x14ac:dyDescent="0.25">
      <c r="A47" s="142">
        <f>DATE(2019,12,23)</f>
        <v>43822</v>
      </c>
      <c r="B47" s="143"/>
    </row>
    <row r="50" spans="1:12" ht="34.5" customHeight="1" x14ac:dyDescent="0.25">
      <c r="A50" s="154" t="s">
        <v>222</v>
      </c>
      <c r="B50" s="155"/>
      <c r="D50" s="147" t="s">
        <v>223</v>
      </c>
      <c r="E50" s="148"/>
      <c r="F50" s="149"/>
    </row>
    <row r="51" spans="1:12" x14ac:dyDescent="0.25">
      <c r="A51" s="87" t="s">
        <v>216</v>
      </c>
      <c r="B51" s="88" t="s">
        <v>209</v>
      </c>
    </row>
    <row r="52" spans="1:12" x14ac:dyDescent="0.25">
      <c r="A52" s="89">
        <f ca="1">TODAY()</f>
        <v>45829</v>
      </c>
      <c r="B52" s="92">
        <v>48</v>
      </c>
      <c r="D52" s="73">
        <f ca="1">WORKDAY(A52,B52)</f>
        <v>45896</v>
      </c>
      <c r="E52" s="91" t="s">
        <v>218</v>
      </c>
      <c r="F52" s="91"/>
      <c r="H52" s="80" t="s">
        <v>187</v>
      </c>
      <c r="I52" t="s">
        <v>354</v>
      </c>
      <c r="K52" s="76"/>
    </row>
    <row r="53" spans="1:12" ht="15" customHeight="1" x14ac:dyDescent="0.25">
      <c r="D53" s="73">
        <f ca="1">WORKDAY(A52,B52,A55:B58)</f>
        <v>45896</v>
      </c>
      <c r="E53" s="91" t="s">
        <v>219</v>
      </c>
      <c r="F53" s="91"/>
      <c r="H53" s="80" t="s">
        <v>187</v>
      </c>
      <c r="I53" t="s">
        <v>355</v>
      </c>
      <c r="L53" s="76"/>
    </row>
    <row r="55" spans="1:12" x14ac:dyDescent="0.25">
      <c r="A55" s="142">
        <f>DATE(2024,12,16)</f>
        <v>45642</v>
      </c>
      <c r="B55" s="143"/>
      <c r="C55" t="str">
        <f>TEXT(A55,"ddd")</f>
        <v>Mon</v>
      </c>
      <c r="D55" s="144" t="s">
        <v>224</v>
      </c>
      <c r="E55" s="145"/>
      <c r="F55" s="146"/>
    </row>
    <row r="56" spans="1:12" x14ac:dyDescent="0.25">
      <c r="A56" s="142">
        <f>DATE(2024,12,25)</f>
        <v>45651</v>
      </c>
      <c r="B56" s="143"/>
      <c r="C56" t="str">
        <f t="shared" ref="C56:C58" si="0">TEXT(A56,"ddd")</f>
        <v>Wed</v>
      </c>
    </row>
    <row r="57" spans="1:12" x14ac:dyDescent="0.25">
      <c r="A57" s="142">
        <f>DATE(2024,12,28)</f>
        <v>45654</v>
      </c>
      <c r="B57" s="143"/>
      <c r="C57" t="str">
        <f t="shared" si="0"/>
        <v>Sat</v>
      </c>
      <c r="D57" s="73">
        <f ca="1">WORKDAY.INTL(A52,B52,11)</f>
        <v>45885</v>
      </c>
      <c r="E57" s="152" t="s">
        <v>218</v>
      </c>
      <c r="F57" s="152"/>
      <c r="H57" s="80" t="s">
        <v>187</v>
      </c>
      <c r="I57" t="s">
        <v>356</v>
      </c>
    </row>
    <row r="58" spans="1:12" x14ac:dyDescent="0.25">
      <c r="A58" s="142">
        <f>DATE(2024,12,30)</f>
        <v>45656</v>
      </c>
      <c r="B58" s="143"/>
      <c r="C58" t="str">
        <f t="shared" si="0"/>
        <v>Mon</v>
      </c>
      <c r="D58" s="73">
        <f ca="1">WORKDAY.INTL(A52,B52,11,A55:B58)</f>
        <v>45885</v>
      </c>
      <c r="E58" s="152" t="s">
        <v>219</v>
      </c>
      <c r="F58" s="152"/>
      <c r="H58" s="80" t="s">
        <v>187</v>
      </c>
      <c r="I58" t="s">
        <v>357</v>
      </c>
    </row>
    <row r="60" spans="1:12" x14ac:dyDescent="0.25">
      <c r="B60" s="76"/>
      <c r="K60" s="76"/>
    </row>
    <row r="61" spans="1:12" x14ac:dyDescent="0.25">
      <c r="K61" s="76"/>
    </row>
    <row r="62" spans="1:12" x14ac:dyDescent="0.25">
      <c r="H62" s="93">
        <v>1</v>
      </c>
      <c r="I62" s="94" t="s">
        <v>225</v>
      </c>
    </row>
    <row r="63" spans="1:12" x14ac:dyDescent="0.25">
      <c r="A63" s="156" t="s">
        <v>226</v>
      </c>
      <c r="B63" s="156"/>
      <c r="D63" s="156" t="s">
        <v>227</v>
      </c>
      <c r="E63" s="156"/>
      <c r="H63" s="93">
        <v>2</v>
      </c>
      <c r="I63" s="94" t="s">
        <v>228</v>
      </c>
    </row>
    <row r="64" spans="1:12" x14ac:dyDescent="0.25">
      <c r="A64" s="95" t="s">
        <v>192</v>
      </c>
      <c r="B64" s="79">
        <f ca="1">TODAY()</f>
        <v>45829</v>
      </c>
      <c r="D64" s="96">
        <f>DATE(2020,3,10)</f>
        <v>43900</v>
      </c>
      <c r="E64" s="97">
        <f>WEEKDAY(D64,1)</f>
        <v>3</v>
      </c>
      <c r="H64" s="93">
        <v>3</v>
      </c>
      <c r="I64" s="94" t="s">
        <v>229</v>
      </c>
    </row>
    <row r="65" spans="1:9" x14ac:dyDescent="0.25">
      <c r="A65" s="95" t="s">
        <v>230</v>
      </c>
      <c r="B65" s="79">
        <f ca="1">B64+5</f>
        <v>45834</v>
      </c>
      <c r="D65" s="96">
        <f ca="1">TODAY()</f>
        <v>45829</v>
      </c>
      <c r="E65" s="97">
        <f t="shared" ref="E65:E66" ca="1" si="1">WEEKDAY(D65,1)</f>
        <v>7</v>
      </c>
      <c r="H65" s="93">
        <v>4</v>
      </c>
      <c r="I65" s="94" t="s">
        <v>231</v>
      </c>
    </row>
    <row r="66" spans="1:9" x14ac:dyDescent="0.25">
      <c r="A66" s="95" t="s">
        <v>232</v>
      </c>
      <c r="B66" s="79">
        <f ca="1">B64-5</f>
        <v>45824</v>
      </c>
      <c r="D66" s="96">
        <f>DATE(2020,11,15)</f>
        <v>44150</v>
      </c>
      <c r="E66" s="97">
        <f t="shared" si="1"/>
        <v>1</v>
      </c>
      <c r="H66" s="93">
        <v>5</v>
      </c>
      <c r="I66" s="94" t="s">
        <v>233</v>
      </c>
    </row>
    <row r="67" spans="1:9" x14ac:dyDescent="0.25">
      <c r="D67" s="96"/>
      <c r="E67" s="97"/>
      <c r="H67" s="93">
        <v>6</v>
      </c>
      <c r="I67" s="94" t="s">
        <v>234</v>
      </c>
    </row>
    <row r="68" spans="1:9" x14ac:dyDescent="0.25">
      <c r="D68" s="96"/>
      <c r="E68" s="97"/>
      <c r="H68" s="93">
        <v>7</v>
      </c>
      <c r="I68" s="94" t="s">
        <v>235</v>
      </c>
    </row>
    <row r="69" spans="1:9" x14ac:dyDescent="0.25">
      <c r="A69" s="156" t="s">
        <v>226</v>
      </c>
      <c r="B69" s="156"/>
      <c r="H69" s="93"/>
      <c r="I69" s="94"/>
    </row>
    <row r="70" spans="1:9" x14ac:dyDescent="0.25">
      <c r="A70" s="156" t="s">
        <v>236</v>
      </c>
      <c r="B70" s="156"/>
      <c r="D70" s="96">
        <f>DATE(2020,3,10)</f>
        <v>43900</v>
      </c>
      <c r="E70" t="str">
        <f>TEXT(D70,"ddd")</f>
        <v>Tue</v>
      </c>
    </row>
    <row r="71" spans="1:9" x14ac:dyDescent="0.25">
      <c r="A71" s="95" t="s">
        <v>192</v>
      </c>
      <c r="B71" s="79">
        <f ca="1">TODAY()</f>
        <v>45829</v>
      </c>
      <c r="D71" s="96">
        <f ca="1">TODAY()</f>
        <v>45829</v>
      </c>
      <c r="E71" t="str">
        <f ca="1">TEXT(D71,"dddd")</f>
        <v>Saturday</v>
      </c>
    </row>
    <row r="72" spans="1:9" x14ac:dyDescent="0.25">
      <c r="A72" s="95" t="s">
        <v>237</v>
      </c>
      <c r="B72" s="79">
        <f ca="1">EDATE(B71,5)</f>
        <v>45982</v>
      </c>
      <c r="D72" s="96">
        <f>DATE(2020,11,15)</f>
        <v>44150</v>
      </c>
      <c r="E72" t="str">
        <f>TEXT(D72,"mm")</f>
        <v>11</v>
      </c>
    </row>
    <row r="73" spans="1:9" x14ac:dyDescent="0.25">
      <c r="A73" s="95" t="s">
        <v>238</v>
      </c>
      <c r="B73" s="79">
        <f ca="1">EDATE(B71,-5)</f>
        <v>45678</v>
      </c>
      <c r="D73" s="96">
        <f t="shared" ref="D73:D75" si="2">DATE(2020,11,15)</f>
        <v>44150</v>
      </c>
      <c r="E73" t="str">
        <f>TEXT(D73,"mmm")</f>
        <v>Nov</v>
      </c>
    </row>
    <row r="74" spans="1:9" x14ac:dyDescent="0.25">
      <c r="D74" s="96">
        <f t="shared" si="2"/>
        <v>44150</v>
      </c>
      <c r="E74" t="str">
        <f>TEXT(D74,"mmmm")</f>
        <v>November</v>
      </c>
    </row>
    <row r="75" spans="1:9" x14ac:dyDescent="0.25">
      <c r="A75" s="156" t="s">
        <v>226</v>
      </c>
      <c r="B75" s="156"/>
      <c r="D75" s="96">
        <f t="shared" si="2"/>
        <v>44150</v>
      </c>
      <c r="E75" t="str">
        <f>TEXT(D75,"yyyy")</f>
        <v>2020</v>
      </c>
    </row>
    <row r="76" spans="1:9" x14ac:dyDescent="0.25">
      <c r="A76" s="156" t="s">
        <v>236</v>
      </c>
      <c r="B76" s="156"/>
    </row>
    <row r="77" spans="1:9" x14ac:dyDescent="0.25">
      <c r="A77" s="95" t="s">
        <v>192</v>
      </c>
      <c r="B77" s="79">
        <f ca="1">TODAY()</f>
        <v>45829</v>
      </c>
    </row>
    <row r="78" spans="1:9" x14ac:dyDescent="0.25">
      <c r="A78" s="95" t="s">
        <v>239</v>
      </c>
      <c r="B78" s="79">
        <f ca="1">EDATE(B77,60)</f>
        <v>47655</v>
      </c>
    </row>
    <row r="79" spans="1:9" x14ac:dyDescent="0.25">
      <c r="A79" s="95" t="s">
        <v>240</v>
      </c>
      <c r="B79" s="79">
        <f ca="1">EDATE(B77,-5*12)</f>
        <v>44003</v>
      </c>
    </row>
  </sheetData>
  <mergeCells count="31">
    <mergeCell ref="A69:B69"/>
    <mergeCell ref="A70:B70"/>
    <mergeCell ref="A75:B75"/>
    <mergeCell ref="A76:B76"/>
    <mergeCell ref="A56:B56"/>
    <mergeCell ref="A57:B57"/>
    <mergeCell ref="E57:F57"/>
    <mergeCell ref="A58:B58"/>
    <mergeCell ref="E58:F58"/>
    <mergeCell ref="A63:B63"/>
    <mergeCell ref="D63:E63"/>
    <mergeCell ref="A55:B55"/>
    <mergeCell ref="D55:F55"/>
    <mergeCell ref="D38:F38"/>
    <mergeCell ref="A42:B42"/>
    <mergeCell ref="A43:B43"/>
    <mergeCell ref="D43:F43"/>
    <mergeCell ref="A44:B44"/>
    <mergeCell ref="A45:B45"/>
    <mergeCell ref="E45:F45"/>
    <mergeCell ref="A38:B38"/>
    <mergeCell ref="A46:B46"/>
    <mergeCell ref="E46:F46"/>
    <mergeCell ref="A47:B47"/>
    <mergeCell ref="A50:B50"/>
    <mergeCell ref="D50:F50"/>
    <mergeCell ref="A3:B3"/>
    <mergeCell ref="A9:B9"/>
    <mergeCell ref="A24:B24"/>
    <mergeCell ref="A27:B27"/>
    <mergeCell ref="A32:B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4"/>
  <sheetViews>
    <sheetView tabSelected="1" workbookViewId="0">
      <selection activeCell="G23" sqref="G23"/>
    </sheetView>
  </sheetViews>
  <sheetFormatPr defaultRowHeight="15" x14ac:dyDescent="0.25"/>
  <cols>
    <col min="7" max="7" width="12.42578125" customWidth="1"/>
    <col min="8" max="8" width="19.5703125" customWidth="1"/>
    <col min="11" max="11" width="10.85546875" customWidth="1"/>
  </cols>
  <sheetData>
    <row r="1" spans="1:11" x14ac:dyDescent="0.25">
      <c r="A1" s="157" t="s">
        <v>0</v>
      </c>
      <c r="B1" s="158"/>
      <c r="C1" s="158"/>
      <c r="D1" s="158"/>
      <c r="E1" s="159"/>
    </row>
    <row r="3" spans="1:11" ht="18.7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G3" s="160" t="s">
        <v>6</v>
      </c>
      <c r="H3" s="161"/>
      <c r="I3" s="161"/>
      <c r="J3" s="161"/>
      <c r="K3" s="162"/>
    </row>
    <row r="4" spans="1:11" x14ac:dyDescent="0.25">
      <c r="A4" s="2">
        <v>401020</v>
      </c>
      <c r="B4" s="2" t="s">
        <v>7</v>
      </c>
      <c r="C4" s="2">
        <v>25</v>
      </c>
      <c r="D4" s="2">
        <v>170</v>
      </c>
      <c r="E4" s="2">
        <v>0.12</v>
      </c>
      <c r="G4" s="163"/>
      <c r="H4" s="164"/>
      <c r="I4" s="164"/>
      <c r="J4" s="164"/>
      <c r="K4" s="165"/>
    </row>
    <row r="5" spans="1:11" x14ac:dyDescent="0.25">
      <c r="A5" s="2">
        <v>402040</v>
      </c>
      <c r="B5" s="2" t="s">
        <v>8</v>
      </c>
      <c r="C5" s="2">
        <v>65</v>
      </c>
      <c r="D5" s="2">
        <v>580</v>
      </c>
      <c r="E5" s="2">
        <v>0.18</v>
      </c>
      <c r="G5" s="3" t="s">
        <v>1</v>
      </c>
      <c r="H5" s="3" t="s">
        <v>2</v>
      </c>
      <c r="I5" s="3" t="s">
        <v>3</v>
      </c>
      <c r="J5" s="3" t="s">
        <v>4</v>
      </c>
      <c r="K5" s="3" t="s">
        <v>5</v>
      </c>
    </row>
    <row r="6" spans="1:11" x14ac:dyDescent="0.25">
      <c r="A6" s="2">
        <v>403060</v>
      </c>
      <c r="B6" s="2" t="s">
        <v>9</v>
      </c>
      <c r="C6" s="2">
        <v>25</v>
      </c>
      <c r="D6" s="2">
        <v>35</v>
      </c>
      <c r="E6" s="2">
        <v>0.05</v>
      </c>
      <c r="G6" s="2">
        <v>403060</v>
      </c>
      <c r="H6" s="2" t="str">
        <f>VLOOKUP(G6,A3:E22,2,TRUE)</f>
        <v>BREAD</v>
      </c>
      <c r="I6" s="2">
        <f>VLOOKUP(G6,A3:E22,3,0)</f>
        <v>25</v>
      </c>
      <c r="J6" s="2">
        <f>VLOOKUP(G6,A3:E22,4,0)</f>
        <v>35</v>
      </c>
      <c r="K6" s="2">
        <f>VLOOKUP(G6,A3:E22,5,0)</f>
        <v>0.05</v>
      </c>
    </row>
    <row r="7" spans="1:11" x14ac:dyDescent="0.25">
      <c r="A7" s="2">
        <v>404080</v>
      </c>
      <c r="B7" s="2" t="s">
        <v>10</v>
      </c>
      <c r="C7" s="2">
        <v>32</v>
      </c>
      <c r="D7" s="2">
        <v>190</v>
      </c>
      <c r="E7" s="2">
        <v>0.05</v>
      </c>
      <c r="G7" s="2">
        <v>406120</v>
      </c>
      <c r="H7" s="2" t="str">
        <f>VLOOKUP(G7,A4:E23,2,FALSE)</f>
        <v>CURD</v>
      </c>
      <c r="I7" s="2">
        <f>VLOOKUP(H7,B4:F23,2,FALSE)</f>
        <v>74</v>
      </c>
      <c r="J7" s="2">
        <f>VLOOKUP(I7,C4:G23,2,FALSE)</f>
        <v>20</v>
      </c>
      <c r="K7" s="2">
        <f>VLOOKUP(J7,D4:H23,2,FALSE)</f>
        <v>0.12</v>
      </c>
    </row>
    <row r="8" spans="1:11" x14ac:dyDescent="0.25">
      <c r="A8" s="2">
        <v>405100</v>
      </c>
      <c r="B8" s="2" t="s">
        <v>11</v>
      </c>
      <c r="C8" s="2">
        <v>10</v>
      </c>
      <c r="D8" s="2">
        <v>13</v>
      </c>
      <c r="E8" s="2">
        <v>0.05</v>
      </c>
    </row>
    <row r="9" spans="1:11" x14ac:dyDescent="0.25">
      <c r="A9" s="2">
        <v>406120</v>
      </c>
      <c r="B9" s="2" t="s">
        <v>12</v>
      </c>
      <c r="C9" s="2">
        <v>74</v>
      </c>
      <c r="D9" s="2">
        <v>20</v>
      </c>
      <c r="E9" s="2">
        <v>0.12</v>
      </c>
      <c r="G9" s="160" t="s">
        <v>311</v>
      </c>
      <c r="H9" s="161"/>
      <c r="I9" s="161"/>
      <c r="J9" s="161"/>
      <c r="K9" s="162"/>
    </row>
    <row r="10" spans="1:11" x14ac:dyDescent="0.25">
      <c r="A10" s="2">
        <v>407140</v>
      </c>
      <c r="B10" s="2" t="s">
        <v>13</v>
      </c>
      <c r="C10" s="2">
        <v>41</v>
      </c>
      <c r="D10" s="2">
        <v>7</v>
      </c>
      <c r="E10" s="2">
        <v>0.05</v>
      </c>
      <c r="G10" s="163"/>
      <c r="H10" s="164"/>
      <c r="I10" s="164"/>
      <c r="J10" s="164"/>
      <c r="K10" s="165"/>
    </row>
    <row r="11" spans="1:11" ht="15" customHeight="1" x14ac:dyDescent="0.25">
      <c r="A11" s="2">
        <v>408160</v>
      </c>
      <c r="B11" s="2" t="s">
        <v>14</v>
      </c>
      <c r="C11" s="2">
        <v>21</v>
      </c>
      <c r="D11" s="2">
        <v>25000</v>
      </c>
      <c r="E11" s="2">
        <v>0.28000000000000003</v>
      </c>
      <c r="G11" s="3" t="s">
        <v>1</v>
      </c>
      <c r="H11" s="3" t="s">
        <v>2</v>
      </c>
      <c r="I11" s="3" t="s">
        <v>3</v>
      </c>
      <c r="J11" s="3" t="s">
        <v>4</v>
      </c>
      <c r="K11" s="3" t="s">
        <v>5</v>
      </c>
    </row>
    <row r="12" spans="1:11" x14ac:dyDescent="0.25">
      <c r="A12" s="2">
        <v>409180</v>
      </c>
      <c r="B12" s="2" t="s">
        <v>15</v>
      </c>
      <c r="C12" s="2">
        <v>56</v>
      </c>
      <c r="D12" s="2">
        <v>150</v>
      </c>
      <c r="E12" s="2">
        <v>0.12</v>
      </c>
      <c r="G12" s="2">
        <v>404080</v>
      </c>
      <c r="H12" s="2" t="str">
        <f>VLOOKUP($G$12,$A$3:$E$22,COLUMNS($A$3:B3),FALSE)</f>
        <v>BUTTER</v>
      </c>
      <c r="I12" s="2">
        <f>VLOOKUP($G$12,$A$3:$E$22,COLUMNS($A$3:C3),FALSE)</f>
        <v>32</v>
      </c>
      <c r="J12" s="2">
        <f>VLOOKUP($G$12,$A$3:$E$22,COLUMNS($A$3:D3),FALSE)</f>
        <v>190</v>
      </c>
      <c r="K12" s="2">
        <f>VLOOKUP($G$12,$A$3:$E$22,COLUMNS($A$3:E3),FALSE)</f>
        <v>0.05</v>
      </c>
    </row>
    <row r="13" spans="1:11" ht="15" customHeight="1" x14ac:dyDescent="0.25">
      <c r="A13" s="2">
        <v>410200</v>
      </c>
      <c r="B13" s="2" t="s">
        <v>16</v>
      </c>
      <c r="C13" s="2">
        <v>63</v>
      </c>
      <c r="D13" s="2">
        <v>1000</v>
      </c>
      <c r="E13" s="2">
        <v>0.28000000000000003</v>
      </c>
      <c r="G13" s="2">
        <v>418360</v>
      </c>
      <c r="H13" s="2" t="str">
        <f>VLOOKUP($G$13,$A$3:$E$22,COLUMNS($A$3:B3),FALSE)</f>
        <v>TELEVISION</v>
      </c>
      <c r="I13" s="2">
        <f>VLOOKUP($G$13,$A$3:$E$22,COLUMNS($A$3:C3),FALSE)</f>
        <v>33</v>
      </c>
      <c r="J13" s="2">
        <f>VLOOKUP($G$13,$A$3:$E$22,COLUMNS($A$3:D3),FALSE)</f>
        <v>45000</v>
      </c>
      <c r="K13" s="2">
        <f>VLOOKUP($G$13,$A$3:$E$22,COLUMNS($A$3:E3),FALSE)</f>
        <v>0.28000000000000003</v>
      </c>
    </row>
    <row r="14" spans="1:11" x14ac:dyDescent="0.25">
      <c r="A14" s="2">
        <v>411220</v>
      </c>
      <c r="B14" s="2" t="s">
        <v>17</v>
      </c>
      <c r="C14" s="2">
        <v>45</v>
      </c>
      <c r="D14" s="2">
        <v>30000</v>
      </c>
      <c r="E14" s="2">
        <v>0.28000000000000003</v>
      </c>
    </row>
    <row r="15" spans="1:11" x14ac:dyDescent="0.25">
      <c r="A15" s="2">
        <v>412240</v>
      </c>
      <c r="B15" s="2" t="s">
        <v>18</v>
      </c>
      <c r="C15" s="2">
        <v>54</v>
      </c>
      <c r="D15" s="2">
        <v>25</v>
      </c>
      <c r="E15" s="2">
        <v>0.05</v>
      </c>
      <c r="H15" t="s">
        <v>358</v>
      </c>
    </row>
    <row r="16" spans="1:11" x14ac:dyDescent="0.25">
      <c r="A16" s="2">
        <v>413260</v>
      </c>
      <c r="B16" s="2" t="s">
        <v>19</v>
      </c>
      <c r="C16" s="2">
        <v>74</v>
      </c>
      <c r="D16" s="2">
        <v>10</v>
      </c>
      <c r="E16" s="2">
        <v>0.18</v>
      </c>
    </row>
    <row r="17" spans="1:11" x14ac:dyDescent="0.25">
      <c r="A17" s="2">
        <v>414280</v>
      </c>
      <c r="B17" s="2" t="s">
        <v>20</v>
      </c>
      <c r="C17" s="2">
        <v>89</v>
      </c>
      <c r="D17" s="2">
        <v>5</v>
      </c>
      <c r="E17" s="2">
        <v>0.18</v>
      </c>
      <c r="G17" s="112">
        <v>404080</v>
      </c>
      <c r="H17" t="str">
        <f>VLOOKUP($G$17,$A$3:$E$22,COLUMNS($A$3:B3),FALSE)</f>
        <v>BUTTER</v>
      </c>
      <c r="I17">
        <f>VLOOKUP($G$17,$A$3:$E$22,COLUMNS($A$3:C3),FALSE)</f>
        <v>32</v>
      </c>
      <c r="J17">
        <f>VLOOKUP($G$17,$A$3:$E$22,COLUMNS($A$3:D3),FALSE)</f>
        <v>190</v>
      </c>
      <c r="K17">
        <f>VLOOKUP($G$17,$A$3:$E$22,COLUMNS($A$3:E3),FALSE)</f>
        <v>0.05</v>
      </c>
    </row>
    <row r="18" spans="1:11" x14ac:dyDescent="0.25">
      <c r="A18" s="2">
        <v>415300</v>
      </c>
      <c r="B18" s="2" t="s">
        <v>21</v>
      </c>
      <c r="C18" s="2">
        <v>14</v>
      </c>
      <c r="D18" s="2">
        <v>5</v>
      </c>
      <c r="E18" s="2">
        <v>0.12</v>
      </c>
    </row>
    <row r="19" spans="1:11" x14ac:dyDescent="0.25">
      <c r="A19" s="2">
        <v>416320</v>
      </c>
      <c r="B19" s="2" t="s">
        <v>22</v>
      </c>
      <c r="C19" s="2">
        <v>32</v>
      </c>
      <c r="D19" s="2">
        <v>23</v>
      </c>
      <c r="E19" s="2">
        <v>0.12</v>
      </c>
    </row>
    <row r="20" spans="1:11" ht="15" customHeight="1" x14ac:dyDescent="0.25">
      <c r="A20" s="2">
        <v>417340</v>
      </c>
      <c r="B20" s="2" t="s">
        <v>23</v>
      </c>
      <c r="C20" s="2">
        <v>56</v>
      </c>
      <c r="D20" s="2">
        <v>10</v>
      </c>
      <c r="E20" s="2">
        <v>0.12</v>
      </c>
      <c r="G20" s="160" t="s">
        <v>6</v>
      </c>
      <c r="H20" s="161"/>
      <c r="I20" s="161"/>
      <c r="J20" s="161"/>
      <c r="K20" s="162"/>
    </row>
    <row r="21" spans="1:11" x14ac:dyDescent="0.25">
      <c r="A21" s="2">
        <v>418360</v>
      </c>
      <c r="B21" s="2" t="s">
        <v>24</v>
      </c>
      <c r="C21" s="2">
        <v>33</v>
      </c>
      <c r="D21" s="2">
        <v>45000</v>
      </c>
      <c r="E21" s="2">
        <v>0.28000000000000003</v>
      </c>
      <c r="G21" s="163"/>
      <c r="H21" s="164"/>
      <c r="I21" s="164"/>
      <c r="J21" s="164"/>
      <c r="K21" s="165"/>
    </row>
    <row r="22" spans="1:11" x14ac:dyDescent="0.25">
      <c r="A22" s="2">
        <v>419380</v>
      </c>
      <c r="B22" s="2" t="s">
        <v>25</v>
      </c>
      <c r="C22" s="2">
        <v>65</v>
      </c>
      <c r="D22" s="2">
        <v>60</v>
      </c>
      <c r="E22" s="2">
        <v>0.12</v>
      </c>
      <c r="G22" s="3" t="s">
        <v>1</v>
      </c>
      <c r="H22" s="3" t="s">
        <v>2</v>
      </c>
      <c r="I22" s="3" t="s">
        <v>3</v>
      </c>
      <c r="J22" s="3" t="s">
        <v>4</v>
      </c>
      <c r="K22" s="3" t="s">
        <v>5</v>
      </c>
    </row>
    <row r="23" spans="1:11" x14ac:dyDescent="0.25">
      <c r="G23" s="2">
        <v>408160</v>
      </c>
      <c r="H23" s="209" t="str">
        <f>VLOOKUP($G$23,$A$3:$E$22,COLUMNS($A$3:B3),TRUE)</f>
        <v>FRIDGE</v>
      </c>
      <c r="I23" s="209">
        <f>VLOOKUP($G$23,$A$3:$E$22,COLUMNS($A$3:C3),TRUE)</f>
        <v>21</v>
      </c>
      <c r="J23" s="209">
        <f>VLOOKUP($G$23,$A$3:$E$22,COLUMNS($A$3:D3),TRUE)</f>
        <v>25000</v>
      </c>
      <c r="K23" s="209">
        <f>VLOOKUP($G$23,$A$3:$E$22,COLUMNS($A$3:E3),TRUE)</f>
        <v>0.28000000000000003</v>
      </c>
    </row>
    <row r="24" spans="1:11" x14ac:dyDescent="0.25">
      <c r="G24" s="2"/>
      <c r="H24" s="2"/>
      <c r="I24" s="2"/>
      <c r="J24" s="2"/>
      <c r="K24" s="2"/>
    </row>
  </sheetData>
  <mergeCells count="4">
    <mergeCell ref="G20:K21"/>
    <mergeCell ref="A1:E1"/>
    <mergeCell ref="G3:K4"/>
    <mergeCell ref="G9:K10"/>
  </mergeCells>
  <dataValidations count="1">
    <dataValidation type="list" allowBlank="1" showInputMessage="1" showErrorMessage="1" sqref="G23" xr:uid="{39E5B31F-68DB-46F9-926C-4E77D1402728}">
      <formula1>$A$4:$A$22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7"/>
  <sheetViews>
    <sheetView workbookViewId="0">
      <selection activeCell="J11" sqref="J11"/>
    </sheetView>
  </sheetViews>
  <sheetFormatPr defaultRowHeight="15" x14ac:dyDescent="0.25"/>
  <sheetData>
    <row r="1" spans="1:5" x14ac:dyDescent="0.25">
      <c r="A1" s="166" t="s">
        <v>26</v>
      </c>
      <c r="B1" s="166"/>
      <c r="C1" s="166"/>
      <c r="D1" s="166"/>
      <c r="E1" s="166"/>
    </row>
    <row r="2" spans="1:5" x14ac:dyDescent="0.25">
      <c r="A2" s="166"/>
      <c r="B2" s="166"/>
      <c r="C2" s="166"/>
      <c r="D2" s="166"/>
      <c r="E2" s="166"/>
    </row>
    <row r="4" spans="1:5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25">
      <c r="A5" s="5">
        <v>402040</v>
      </c>
      <c r="B5" s="2" t="str">
        <f>VLOOKUP($A$5,VLOOKUP!$A$3:$E$22,2,FALSE)</f>
        <v>BAG</v>
      </c>
      <c r="C5" s="2">
        <f>VLOOKUP($A$5,VLOOKUP!$A$3:$E$22,3,FALSE)</f>
        <v>65</v>
      </c>
      <c r="D5" s="2">
        <f>VLOOKUP($A$5,VLOOKUP!$A$3:$E$22,4,FALSE)</f>
        <v>580</v>
      </c>
      <c r="E5" s="2">
        <f>VLOOKUP($A$5,VLOOKUP!$A$3:$E$22,5,FALSE)</f>
        <v>0.18</v>
      </c>
    </row>
    <row r="6" spans="1:5" x14ac:dyDescent="0.25">
      <c r="A6" s="5">
        <v>405100</v>
      </c>
      <c r="B6" s="2"/>
      <c r="C6" s="2"/>
      <c r="D6" s="2"/>
      <c r="E6" s="2"/>
    </row>
    <row r="7" spans="1:5" x14ac:dyDescent="0.25">
      <c r="A7" s="5">
        <v>410200</v>
      </c>
      <c r="B7" s="2"/>
      <c r="C7" s="2"/>
      <c r="D7" s="2"/>
      <c r="E7" s="6"/>
    </row>
    <row r="8" spans="1:5" x14ac:dyDescent="0.25">
      <c r="A8" s="5">
        <v>413260</v>
      </c>
      <c r="B8" s="2"/>
      <c r="C8" s="2"/>
      <c r="D8" s="2"/>
      <c r="E8" s="6"/>
    </row>
    <row r="11" spans="1:5" x14ac:dyDescent="0.25">
      <c r="A11" s="166" t="s">
        <v>27</v>
      </c>
      <c r="B11" s="166"/>
      <c r="C11" s="166"/>
      <c r="D11" s="166"/>
      <c r="E11" s="166"/>
    </row>
    <row r="12" spans="1:5" x14ac:dyDescent="0.25">
      <c r="A12" s="166"/>
      <c r="B12" s="166"/>
      <c r="C12" s="166"/>
      <c r="D12" s="166"/>
      <c r="E12" s="166"/>
    </row>
    <row r="13" spans="1:5" x14ac:dyDescent="0.25">
      <c r="A13" s="1" t="s">
        <v>1</v>
      </c>
      <c r="B13" s="1" t="s">
        <v>2</v>
      </c>
      <c r="C13" s="1" t="s">
        <v>3</v>
      </c>
      <c r="D13" s="1" t="s">
        <v>4</v>
      </c>
      <c r="E13" s="1" t="s">
        <v>5</v>
      </c>
    </row>
    <row r="14" spans="1:5" x14ac:dyDescent="0.25">
      <c r="A14" s="5">
        <v>402040</v>
      </c>
      <c r="B14" s="2" t="str">
        <f>VLOOKUP($A$14,[1]Sheet1!$A$1:$E$20,COLUMNS($A$13:B13),TRUE)</f>
        <v>BAG</v>
      </c>
      <c r="C14" s="2">
        <f>VLOOKUP($A$14,[1]Sheet1!$A$1:$E$20,COLUMNS($A$13:C13),TRUE)</f>
        <v>65</v>
      </c>
      <c r="D14" s="2">
        <f>VLOOKUP($A$14,[1]Sheet1!$A$1:$E$20,COLUMNS($A$13:D13),TRUE)</f>
        <v>580</v>
      </c>
      <c r="E14" s="2">
        <f>VLOOKUP($A$14,[1]Sheet1!$A$1:$E$20,COLUMNS($A$13:E13),TRUE)</f>
        <v>0.18</v>
      </c>
    </row>
    <row r="15" spans="1:5" x14ac:dyDescent="0.25">
      <c r="A15" s="5">
        <v>405100</v>
      </c>
      <c r="B15" s="2"/>
      <c r="C15" s="2"/>
      <c r="D15" s="2"/>
      <c r="E15" s="6"/>
    </row>
    <row r="16" spans="1:5" x14ac:dyDescent="0.25">
      <c r="A16" s="5">
        <v>410200</v>
      </c>
      <c r="B16" s="2"/>
      <c r="C16" s="2"/>
      <c r="D16" s="2"/>
      <c r="E16" s="6"/>
    </row>
    <row r="17" spans="1:5" x14ac:dyDescent="0.25">
      <c r="A17" s="5">
        <v>413260</v>
      </c>
      <c r="B17" s="2"/>
      <c r="C17" s="2"/>
      <c r="D17" s="2"/>
      <c r="E17" s="6"/>
    </row>
  </sheetData>
  <mergeCells count="2">
    <mergeCell ref="A1:E2"/>
    <mergeCell ref="A11:E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"/>
  <sheetViews>
    <sheetView workbookViewId="0">
      <selection activeCell="E11" sqref="E11:G11"/>
    </sheetView>
  </sheetViews>
  <sheetFormatPr defaultRowHeight="15" x14ac:dyDescent="0.25"/>
  <cols>
    <col min="1" max="1" width="14.7109375" customWidth="1"/>
  </cols>
  <sheetData>
    <row r="1" spans="1:9" x14ac:dyDescent="0.25">
      <c r="A1" s="168" t="s">
        <v>28</v>
      </c>
      <c r="B1" s="168"/>
      <c r="C1" s="168"/>
      <c r="D1" s="168"/>
      <c r="E1" s="168"/>
      <c r="F1" s="168"/>
      <c r="G1" s="168"/>
      <c r="H1" s="168"/>
      <c r="I1" s="168"/>
    </row>
    <row r="2" spans="1:9" x14ac:dyDescent="0.25">
      <c r="A2" s="169"/>
      <c r="B2" s="169"/>
      <c r="C2" s="169"/>
      <c r="D2" s="169"/>
      <c r="E2" s="169"/>
      <c r="F2" s="169"/>
      <c r="G2" s="169"/>
      <c r="H2" s="169"/>
      <c r="I2" s="169"/>
    </row>
    <row r="3" spans="1:9" x14ac:dyDescent="0.25">
      <c r="A3" s="7" t="s">
        <v>1</v>
      </c>
      <c r="B3" s="5">
        <v>401020</v>
      </c>
      <c r="C3" s="5">
        <v>402040</v>
      </c>
      <c r="D3" s="5">
        <v>403060</v>
      </c>
      <c r="E3" s="5">
        <v>404080</v>
      </c>
      <c r="F3" s="5">
        <v>405100</v>
      </c>
      <c r="G3" s="5">
        <v>406120</v>
      </c>
      <c r="H3" s="5">
        <v>407140</v>
      </c>
      <c r="I3" s="5">
        <v>408160</v>
      </c>
    </row>
    <row r="4" spans="1:9" x14ac:dyDescent="0.25">
      <c r="A4" s="7" t="s">
        <v>2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</row>
    <row r="5" spans="1:9" x14ac:dyDescent="0.25">
      <c r="A5" s="7" t="s">
        <v>3</v>
      </c>
      <c r="B5" s="2">
        <v>25</v>
      </c>
      <c r="C5" s="2">
        <v>65</v>
      </c>
      <c r="D5" s="2">
        <v>25</v>
      </c>
      <c r="E5" s="2">
        <v>32</v>
      </c>
      <c r="F5" s="2">
        <v>10</v>
      </c>
      <c r="G5" s="2">
        <v>74</v>
      </c>
      <c r="H5" s="2">
        <v>41</v>
      </c>
      <c r="I5" s="2">
        <v>21</v>
      </c>
    </row>
    <row r="6" spans="1:9" x14ac:dyDescent="0.25">
      <c r="A6" s="7" t="s">
        <v>4</v>
      </c>
      <c r="B6" s="2">
        <v>170</v>
      </c>
      <c r="C6" s="2">
        <v>580</v>
      </c>
      <c r="D6" s="2">
        <v>35</v>
      </c>
      <c r="E6" s="2">
        <v>190</v>
      </c>
      <c r="F6" s="2">
        <v>13</v>
      </c>
      <c r="G6" s="2">
        <v>20</v>
      </c>
      <c r="H6" s="2">
        <v>7</v>
      </c>
      <c r="I6" s="2">
        <v>25000</v>
      </c>
    </row>
    <row r="7" spans="1:9" x14ac:dyDescent="0.25">
      <c r="A7" s="7" t="s">
        <v>5</v>
      </c>
      <c r="B7" s="6">
        <v>0.12</v>
      </c>
      <c r="C7" s="6">
        <v>0.18</v>
      </c>
      <c r="D7" s="6">
        <v>0.05</v>
      </c>
      <c r="E7" s="6">
        <v>0.05</v>
      </c>
      <c r="F7" s="6">
        <v>0.05</v>
      </c>
      <c r="G7" s="6">
        <v>0.12</v>
      </c>
      <c r="H7" s="6">
        <v>0.05</v>
      </c>
      <c r="I7" s="6">
        <v>0.28000000000000003</v>
      </c>
    </row>
    <row r="9" spans="1:9" x14ac:dyDescent="0.25">
      <c r="A9" s="170" t="s">
        <v>29</v>
      </c>
      <c r="B9" s="170"/>
      <c r="D9" s="170" t="s">
        <v>30</v>
      </c>
      <c r="E9" s="170"/>
      <c r="F9" s="170"/>
      <c r="G9" s="170"/>
    </row>
    <row r="10" spans="1:9" x14ac:dyDescent="0.25">
      <c r="A10" s="1" t="s">
        <v>1</v>
      </c>
      <c r="B10" s="8">
        <v>401020</v>
      </c>
      <c r="D10" s="1" t="s">
        <v>1</v>
      </c>
      <c r="E10" s="167">
        <v>402040</v>
      </c>
      <c r="F10" s="167"/>
      <c r="G10" s="167"/>
    </row>
    <row r="11" spans="1:9" x14ac:dyDescent="0.25">
      <c r="A11" s="1" t="s">
        <v>2</v>
      </c>
      <c r="B11" s="2" t="str">
        <f>HLOOKUP(B10,A3:I7,2,FALSE)</f>
        <v>BACKET</v>
      </c>
      <c r="D11" s="1" t="s">
        <v>2</v>
      </c>
      <c r="E11" s="167" t="str">
        <f>HLOOKUP($E$10,$A$3:$I$7,ROWS($A$3:A4),FALSE)</f>
        <v>BAG</v>
      </c>
      <c r="F11" s="167"/>
      <c r="G11" s="167"/>
    </row>
    <row r="12" spans="1:9" x14ac:dyDescent="0.25">
      <c r="A12" s="1" t="s">
        <v>3</v>
      </c>
      <c r="B12" s="2">
        <f t="shared" ref="B12:B14" si="0">HLOOKUP(B11,A4:I8,2,FALSE)</f>
        <v>25</v>
      </c>
      <c r="D12" s="1" t="s">
        <v>3</v>
      </c>
      <c r="E12" s="167">
        <f>HLOOKUP($E$10,$A$3:$I$7,ROWS($A$3:A5),FALSE)</f>
        <v>65</v>
      </c>
      <c r="F12" s="167"/>
      <c r="G12" s="167"/>
    </row>
    <row r="13" spans="1:9" x14ac:dyDescent="0.25">
      <c r="A13" s="1" t="s">
        <v>4</v>
      </c>
      <c r="B13" s="2">
        <f t="shared" si="0"/>
        <v>170</v>
      </c>
      <c r="D13" s="1" t="s">
        <v>4</v>
      </c>
      <c r="E13" s="167">
        <f>HLOOKUP($E$10,$A$3:$I$7,ROWS($A$3:A6),FALSE)</f>
        <v>580</v>
      </c>
      <c r="F13" s="167"/>
      <c r="G13" s="167"/>
    </row>
    <row r="14" spans="1:9" x14ac:dyDescent="0.25">
      <c r="A14" s="1" t="s">
        <v>5</v>
      </c>
      <c r="B14" s="2">
        <f t="shared" si="0"/>
        <v>0.12</v>
      </c>
      <c r="D14" s="1" t="s">
        <v>5</v>
      </c>
      <c r="E14" s="167">
        <f>HLOOKUP($E$10,$A$3:$I$7,ROWS($A$3:A7),FALSE)</f>
        <v>0.18</v>
      </c>
      <c r="F14" s="167"/>
      <c r="G14" s="167"/>
    </row>
  </sheetData>
  <mergeCells count="8">
    <mergeCell ref="E13:G13"/>
    <mergeCell ref="E14:G14"/>
    <mergeCell ref="A1:I2"/>
    <mergeCell ref="A9:B9"/>
    <mergeCell ref="D9:G9"/>
    <mergeCell ref="E10:G10"/>
    <mergeCell ref="E11:G11"/>
    <mergeCell ref="E12:G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5"/>
  <sheetViews>
    <sheetView topLeftCell="A22" workbookViewId="0">
      <selection activeCell="E37" sqref="E37:G41"/>
    </sheetView>
  </sheetViews>
  <sheetFormatPr defaultRowHeight="15" x14ac:dyDescent="0.25"/>
  <cols>
    <col min="1" max="1" width="16.5703125" customWidth="1"/>
    <col min="2" max="2" width="19.85546875" bestFit="1" customWidth="1"/>
    <col min="3" max="3" width="13.7109375" customWidth="1"/>
    <col min="6" max="6" width="10.7109375" bestFit="1" customWidth="1"/>
  </cols>
  <sheetData>
    <row r="1" spans="1:6" ht="15.75" x14ac:dyDescent="0.25">
      <c r="A1" s="175" t="s">
        <v>31</v>
      </c>
      <c r="B1" s="175"/>
      <c r="C1" s="175"/>
      <c r="D1" s="175"/>
      <c r="E1" s="175"/>
      <c r="F1" s="175"/>
    </row>
    <row r="2" spans="1:6" x14ac:dyDescent="0.2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</row>
    <row r="3" spans="1:6" x14ac:dyDescent="0.25">
      <c r="A3" s="9" t="s">
        <v>38</v>
      </c>
      <c r="B3" s="9" t="s">
        <v>39</v>
      </c>
      <c r="C3" s="9" t="s">
        <v>40</v>
      </c>
      <c r="D3" s="9">
        <v>450</v>
      </c>
      <c r="E3" s="9">
        <v>1100</v>
      </c>
      <c r="F3" s="9">
        <v>495000</v>
      </c>
    </row>
    <row r="4" spans="1:6" x14ac:dyDescent="0.25">
      <c r="A4" s="9" t="s">
        <v>41</v>
      </c>
      <c r="B4" s="9" t="s">
        <v>42</v>
      </c>
      <c r="C4" s="9" t="s">
        <v>43</v>
      </c>
      <c r="D4" s="9">
        <v>1100</v>
      </c>
      <c r="E4" s="9">
        <v>750</v>
      </c>
      <c r="F4" s="9">
        <v>825000</v>
      </c>
    </row>
    <row r="5" spans="1:6" x14ac:dyDescent="0.25">
      <c r="A5" s="9" t="s">
        <v>44</v>
      </c>
      <c r="B5" s="9" t="s">
        <v>45</v>
      </c>
      <c r="C5" s="9" t="s">
        <v>46</v>
      </c>
      <c r="D5" s="9">
        <v>1500</v>
      </c>
      <c r="E5" s="9">
        <v>90</v>
      </c>
      <c r="F5" s="9">
        <v>135000</v>
      </c>
    </row>
    <row r="6" spans="1:6" x14ac:dyDescent="0.25">
      <c r="A6" s="9" t="s">
        <v>47</v>
      </c>
      <c r="B6" s="9" t="s">
        <v>48</v>
      </c>
      <c r="C6" s="9" t="s">
        <v>49</v>
      </c>
      <c r="D6" s="9">
        <v>500</v>
      </c>
      <c r="E6" s="9">
        <v>1000</v>
      </c>
      <c r="F6" s="9">
        <v>500000</v>
      </c>
    </row>
    <row r="7" spans="1:6" x14ac:dyDescent="0.25">
      <c r="A7" s="9" t="s">
        <v>50</v>
      </c>
      <c r="B7" s="9" t="s">
        <v>51</v>
      </c>
      <c r="C7" s="9" t="s">
        <v>52</v>
      </c>
      <c r="D7" s="9">
        <v>255</v>
      </c>
      <c r="E7" s="9">
        <v>1150</v>
      </c>
      <c r="F7" s="9">
        <v>293250</v>
      </c>
    </row>
    <row r="8" spans="1:6" x14ac:dyDescent="0.25">
      <c r="A8" s="9" t="s">
        <v>53</v>
      </c>
      <c r="B8" s="9" t="s">
        <v>54</v>
      </c>
      <c r="C8" s="9" t="s">
        <v>55</v>
      </c>
      <c r="D8" s="9">
        <v>350</v>
      </c>
      <c r="E8" s="9">
        <v>1050</v>
      </c>
      <c r="F8" s="9">
        <v>367500</v>
      </c>
    </row>
    <row r="9" spans="1:6" x14ac:dyDescent="0.25">
      <c r="A9" s="9" t="s">
        <v>56</v>
      </c>
      <c r="B9" s="9" t="s">
        <v>57</v>
      </c>
      <c r="C9" s="9" t="s">
        <v>58</v>
      </c>
      <c r="D9" s="9">
        <v>3000</v>
      </c>
      <c r="E9" s="9">
        <v>150</v>
      </c>
      <c r="F9" s="9">
        <v>450000</v>
      </c>
    </row>
    <row r="12" spans="1:6" x14ac:dyDescent="0.25">
      <c r="A12" s="176" t="s">
        <v>59</v>
      </c>
      <c r="B12" s="176"/>
      <c r="C12" s="176"/>
      <c r="E12" t="s">
        <v>365</v>
      </c>
    </row>
    <row r="13" spans="1:6" x14ac:dyDescent="0.25">
      <c r="E13" t="s">
        <v>363</v>
      </c>
    </row>
    <row r="14" spans="1:6" x14ac:dyDescent="0.25">
      <c r="A14" s="176" t="s">
        <v>60</v>
      </c>
      <c r="B14" s="176"/>
      <c r="C14" s="176"/>
      <c r="E14" t="s">
        <v>364</v>
      </c>
    </row>
    <row r="15" spans="1:6" x14ac:dyDescent="0.25">
      <c r="A15" s="1" t="s">
        <v>33</v>
      </c>
      <c r="B15" s="1" t="s">
        <v>35</v>
      </c>
      <c r="C15" s="1" t="s">
        <v>32</v>
      </c>
    </row>
    <row r="16" spans="1:6" x14ac:dyDescent="0.25">
      <c r="A16" s="10" t="s">
        <v>39</v>
      </c>
      <c r="B16" s="11">
        <f>INDEX(A3:F9,1,4)</f>
        <v>450</v>
      </c>
      <c r="C16" s="11" t="str">
        <f>INDEX(A3:F9,1,1)</f>
        <v>G101</v>
      </c>
      <c r="E16" t="s">
        <v>359</v>
      </c>
    </row>
    <row r="18" spans="1:8" x14ac:dyDescent="0.25">
      <c r="A18" s="177" t="s">
        <v>61</v>
      </c>
      <c r="B18" s="178"/>
      <c r="C18" s="179"/>
    </row>
    <row r="19" spans="1:8" x14ac:dyDescent="0.25">
      <c r="A19" s="12" t="s">
        <v>33</v>
      </c>
      <c r="B19" s="4" t="s">
        <v>62</v>
      </c>
      <c r="C19" s="4"/>
    </row>
    <row r="20" spans="1:8" x14ac:dyDescent="0.25">
      <c r="A20" s="10" t="s">
        <v>51</v>
      </c>
      <c r="B20" s="13">
        <f>MATCH(A20,B3:B9,0)</f>
        <v>5</v>
      </c>
      <c r="C20" s="13"/>
      <c r="D20" t="s">
        <v>360</v>
      </c>
    </row>
    <row r="22" spans="1:8" x14ac:dyDescent="0.25">
      <c r="A22" s="176" t="s">
        <v>66</v>
      </c>
      <c r="B22" s="176"/>
      <c r="C22" s="176"/>
      <c r="D22" s="176"/>
      <c r="E22" s="176"/>
      <c r="F22" s="176"/>
      <c r="H22" t="s">
        <v>361</v>
      </c>
    </row>
    <row r="23" spans="1:8" x14ac:dyDescent="0.25">
      <c r="A23" s="1" t="s">
        <v>32</v>
      </c>
      <c r="B23" s="1" t="s">
        <v>33</v>
      </c>
      <c r="C23" s="1" t="s">
        <v>34</v>
      </c>
      <c r="D23" s="1" t="s">
        <v>35</v>
      </c>
      <c r="E23" s="1" t="s">
        <v>36</v>
      </c>
      <c r="F23" s="1" t="s">
        <v>37</v>
      </c>
    </row>
    <row r="24" spans="1:8" x14ac:dyDescent="0.25">
      <c r="A24" s="9" t="s">
        <v>50</v>
      </c>
      <c r="B24" s="14" t="str">
        <f>INDEX(B3:B9,MATCH(A24,A3:A9,0))</f>
        <v>ARUNA &amp; CO.</v>
      </c>
      <c r="C24" s="14" t="str">
        <f t="shared" ref="C24:F24" si="0">INDEX(C3:C9,MATCH(B24,B3:B9,0))</f>
        <v>JUICER</v>
      </c>
      <c r="D24" s="14">
        <f t="shared" si="0"/>
        <v>255</v>
      </c>
      <c r="E24" s="14">
        <f t="shared" si="0"/>
        <v>1150</v>
      </c>
      <c r="F24" s="14">
        <f t="shared" si="0"/>
        <v>293250</v>
      </c>
    </row>
    <row r="25" spans="1:8" x14ac:dyDescent="0.25">
      <c r="A25" s="9" t="s">
        <v>50</v>
      </c>
      <c r="B25" t="str">
        <f>INDEX(B3:B9,MATCH(A25,A3:A9,0))</f>
        <v>ARUNA &amp; CO.</v>
      </c>
      <c r="C25" t="str">
        <f t="shared" ref="C25:F25" si="1">INDEX(C3:C9,MATCH(B25,B3:B9,0))</f>
        <v>JUICER</v>
      </c>
      <c r="D25">
        <f t="shared" si="1"/>
        <v>255</v>
      </c>
      <c r="E25">
        <f t="shared" si="1"/>
        <v>1150</v>
      </c>
      <c r="F25">
        <f t="shared" si="1"/>
        <v>293250</v>
      </c>
    </row>
    <row r="27" spans="1:8" x14ac:dyDescent="0.25">
      <c r="A27" s="176" t="s">
        <v>65</v>
      </c>
      <c r="B27" s="176"/>
      <c r="C27" s="176"/>
      <c r="D27" s="176"/>
    </row>
    <row r="28" spans="1:8" x14ac:dyDescent="0.25">
      <c r="A28" s="1" t="s">
        <v>32</v>
      </c>
      <c r="B28" s="1" t="s">
        <v>34</v>
      </c>
      <c r="C28" s="1" t="s">
        <v>35</v>
      </c>
      <c r="D28" s="1" t="s">
        <v>63</v>
      </c>
    </row>
    <row r="29" spans="1:8" x14ac:dyDescent="0.25">
      <c r="A29" s="9" t="s">
        <v>38</v>
      </c>
      <c r="B29" s="9" t="s">
        <v>40</v>
      </c>
      <c r="C29" s="9">
        <v>450</v>
      </c>
      <c r="D29" s="9">
        <v>1100</v>
      </c>
    </row>
    <row r="30" spans="1:8" x14ac:dyDescent="0.25">
      <c r="A30" s="9" t="s">
        <v>41</v>
      </c>
      <c r="B30" s="9" t="s">
        <v>43</v>
      </c>
      <c r="C30" s="9">
        <v>1100</v>
      </c>
      <c r="D30" s="9">
        <v>750</v>
      </c>
    </row>
    <row r="31" spans="1:8" x14ac:dyDescent="0.25">
      <c r="A31" s="9" t="s">
        <v>44</v>
      </c>
      <c r="B31" s="9" t="s">
        <v>46</v>
      </c>
      <c r="C31" s="9">
        <v>1500</v>
      </c>
      <c r="D31" s="9">
        <v>90</v>
      </c>
    </row>
    <row r="32" spans="1:8" x14ac:dyDescent="0.25">
      <c r="A32" s="9" t="s">
        <v>47</v>
      </c>
      <c r="B32" s="9" t="s">
        <v>49</v>
      </c>
      <c r="C32" s="9">
        <v>500</v>
      </c>
      <c r="D32" s="9">
        <v>1000</v>
      </c>
    </row>
    <row r="33" spans="1:4" x14ac:dyDescent="0.25">
      <c r="A33" s="9" t="s">
        <v>50</v>
      </c>
      <c r="B33" s="9" t="s">
        <v>52</v>
      </c>
      <c r="C33" s="9">
        <v>255</v>
      </c>
      <c r="D33" s="9">
        <v>1150</v>
      </c>
    </row>
    <row r="34" spans="1:4" x14ac:dyDescent="0.25">
      <c r="A34" s="9" t="s">
        <v>53</v>
      </c>
      <c r="B34" s="9" t="s">
        <v>55</v>
      </c>
      <c r="C34" s="9">
        <v>350</v>
      </c>
      <c r="D34" s="9">
        <v>1050</v>
      </c>
    </row>
    <row r="35" spans="1:4" x14ac:dyDescent="0.25">
      <c r="A35" s="9" t="s">
        <v>56</v>
      </c>
      <c r="B35" s="9" t="s">
        <v>58</v>
      </c>
      <c r="C35" s="9">
        <v>3000</v>
      </c>
      <c r="D35" s="9">
        <v>150</v>
      </c>
    </row>
    <row r="38" spans="1:4" x14ac:dyDescent="0.25">
      <c r="A38" s="171" t="s">
        <v>32</v>
      </c>
      <c r="B38" s="172"/>
      <c r="C38" s="15" t="s">
        <v>47</v>
      </c>
    </row>
    <row r="39" spans="1:4" x14ac:dyDescent="0.25">
      <c r="A39" s="16" t="s">
        <v>64</v>
      </c>
      <c r="B39" s="16"/>
      <c r="C39" s="15" t="s">
        <v>63</v>
      </c>
    </row>
    <row r="40" spans="1:4" x14ac:dyDescent="0.25">
      <c r="A40" s="17"/>
      <c r="B40" s="17"/>
      <c r="C40" s="17"/>
    </row>
    <row r="41" spans="1:4" ht="15.75" x14ac:dyDescent="0.25">
      <c r="A41" s="173" t="str">
        <f>C39</f>
        <v>SELLING PRICE</v>
      </c>
      <c r="B41" s="174"/>
      <c r="C41" s="15">
        <f>INDEX(A28:D35,MATCH(C38,A28:A35,0),MATCH(C39,A28:D28,0))</f>
        <v>1000</v>
      </c>
    </row>
    <row r="45" spans="1:4" x14ac:dyDescent="0.25">
      <c r="B45" t="s">
        <v>362</v>
      </c>
    </row>
  </sheetData>
  <mergeCells count="8">
    <mergeCell ref="A38:B38"/>
    <mergeCell ref="A41:B41"/>
    <mergeCell ref="A1:F1"/>
    <mergeCell ref="A12:C12"/>
    <mergeCell ref="A14:C14"/>
    <mergeCell ref="A18:C18"/>
    <mergeCell ref="A22:F22"/>
    <mergeCell ref="A27:D27"/>
  </mergeCells>
  <dataValidations count="3">
    <dataValidation type="list" allowBlank="1" showInputMessage="1" showErrorMessage="1" sqref="E38" xr:uid="{00000000-0002-0000-0900-000000000000}">
      <formula1>$B$29:$B$35</formula1>
    </dataValidation>
    <dataValidation type="list" allowBlank="1" showInputMessage="1" showErrorMessage="1" sqref="C39 F39" xr:uid="{00000000-0002-0000-0900-000001000000}">
      <formula1>$B$28:$D$28</formula1>
    </dataValidation>
    <dataValidation type="list" allowBlank="1" showInputMessage="1" showErrorMessage="1" sqref="C38 F38" xr:uid="{00000000-0002-0000-0900-000002000000}">
      <formula1>$A$29:$A$35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5"/>
  <sheetViews>
    <sheetView workbookViewId="0">
      <selection activeCell="G5" sqref="G5"/>
    </sheetView>
  </sheetViews>
  <sheetFormatPr defaultRowHeight="15" x14ac:dyDescent="0.25"/>
  <cols>
    <col min="5" max="5" width="13.7109375" customWidth="1"/>
    <col min="6" max="6" width="13.42578125" customWidth="1"/>
  </cols>
  <sheetData>
    <row r="1" spans="1:7" ht="18.75" x14ac:dyDescent="0.3">
      <c r="A1" s="180" t="s">
        <v>98</v>
      </c>
      <c r="B1" s="180"/>
      <c r="C1" s="180"/>
      <c r="D1" s="180"/>
      <c r="E1" s="180"/>
      <c r="G1" s="110" t="s">
        <v>331</v>
      </c>
    </row>
    <row r="2" spans="1:7" x14ac:dyDescent="0.25">
      <c r="A2" s="23" t="s">
        <v>84</v>
      </c>
      <c r="B2" s="23" t="s">
        <v>85</v>
      </c>
      <c r="C2" s="23" t="s">
        <v>73</v>
      </c>
      <c r="D2" s="24" t="s">
        <v>86</v>
      </c>
      <c r="E2" s="24" t="s">
        <v>87</v>
      </c>
      <c r="G2" s="111" t="s">
        <v>332</v>
      </c>
    </row>
    <row r="3" spans="1:7" x14ac:dyDescent="0.25">
      <c r="A3" s="25" t="s">
        <v>88</v>
      </c>
      <c r="B3" s="25">
        <v>85</v>
      </c>
      <c r="C3" s="26" t="str">
        <f>IF(B3&gt;=40,"PASS","FAIL")</f>
        <v>PASS</v>
      </c>
      <c r="D3" s="26" t="str">
        <f>IF(B3&gt;75,"A+",IF(B3&gt;60,"A",IF(B3&gt;50,"B",IF(B3&gt;40,"C","D"))))</f>
        <v>A+</v>
      </c>
      <c r="E3" s="26" t="str">
        <f>IF(NOT(C3="PASS"),"CALL","")</f>
        <v/>
      </c>
      <c r="G3" s="111" t="s">
        <v>333</v>
      </c>
    </row>
    <row r="4" spans="1:7" x14ac:dyDescent="0.25">
      <c r="A4" s="25" t="s">
        <v>89</v>
      </c>
      <c r="B4" s="25">
        <v>45</v>
      </c>
      <c r="C4" s="26" t="str">
        <f t="shared" ref="C4:C12" si="0">IF(B4&gt;=40,"PASS","FAIL")</f>
        <v>PASS</v>
      </c>
      <c r="D4" s="26" t="str">
        <f t="shared" ref="D4:D12" si="1">IF(B4&gt;75,"A+",IF(B4&gt;60,"A",IF(B4&gt;50,"B",IF(B4&gt;40,"C","D"))))</f>
        <v>C</v>
      </c>
      <c r="E4" s="26" t="str">
        <f t="shared" ref="E4:E12" si="2">IF(NOT(C4="PASS"),"CALL","")</f>
        <v/>
      </c>
      <c r="G4" s="111" t="s">
        <v>334</v>
      </c>
    </row>
    <row r="5" spans="1:7" x14ac:dyDescent="0.25">
      <c r="A5" s="25" t="s">
        <v>90</v>
      </c>
      <c r="B5" s="25">
        <v>65</v>
      </c>
      <c r="C5" s="26" t="str">
        <f t="shared" si="0"/>
        <v>PASS</v>
      </c>
      <c r="D5" s="26" t="str">
        <f t="shared" si="1"/>
        <v>A</v>
      </c>
      <c r="E5" s="26" t="str">
        <f t="shared" si="2"/>
        <v/>
      </c>
      <c r="G5" s="111" t="s">
        <v>335</v>
      </c>
    </row>
    <row r="6" spans="1:7" x14ac:dyDescent="0.25">
      <c r="A6" s="25" t="s">
        <v>91</v>
      </c>
      <c r="B6" s="25">
        <v>23</v>
      </c>
      <c r="C6" s="26" t="str">
        <f t="shared" si="0"/>
        <v>FAIL</v>
      </c>
      <c r="D6" s="26" t="str">
        <f t="shared" si="1"/>
        <v>D</v>
      </c>
      <c r="E6" s="26" t="str">
        <f t="shared" si="2"/>
        <v>CALL</v>
      </c>
    </row>
    <row r="7" spans="1:7" x14ac:dyDescent="0.25">
      <c r="A7" s="25" t="s">
        <v>92</v>
      </c>
      <c r="B7" s="25">
        <v>50</v>
      </c>
      <c r="C7" s="26" t="str">
        <f t="shared" si="0"/>
        <v>PASS</v>
      </c>
      <c r="D7" s="26" t="str">
        <f t="shared" si="1"/>
        <v>C</v>
      </c>
      <c r="E7" s="26" t="str">
        <f t="shared" si="2"/>
        <v/>
      </c>
    </row>
    <row r="8" spans="1:7" x14ac:dyDescent="0.25">
      <c r="A8" s="25" t="s">
        <v>93</v>
      </c>
      <c r="B8" s="25">
        <v>45</v>
      </c>
      <c r="C8" s="26" t="str">
        <f t="shared" si="0"/>
        <v>PASS</v>
      </c>
      <c r="D8" s="26" t="str">
        <f t="shared" si="1"/>
        <v>C</v>
      </c>
      <c r="E8" s="26" t="str">
        <f t="shared" si="2"/>
        <v/>
      </c>
    </row>
    <row r="9" spans="1:7" x14ac:dyDescent="0.25">
      <c r="A9" s="25" t="s">
        <v>94</v>
      </c>
      <c r="B9" s="25">
        <v>78</v>
      </c>
      <c r="C9" s="26" t="str">
        <f t="shared" si="0"/>
        <v>PASS</v>
      </c>
      <c r="D9" s="26" t="str">
        <f t="shared" si="1"/>
        <v>A+</v>
      </c>
      <c r="E9" s="26" t="str">
        <f t="shared" si="2"/>
        <v/>
      </c>
    </row>
    <row r="10" spans="1:7" x14ac:dyDescent="0.25">
      <c r="A10" s="25" t="s">
        <v>95</v>
      </c>
      <c r="B10" s="25">
        <v>56</v>
      </c>
      <c r="C10" s="26" t="str">
        <f t="shared" si="0"/>
        <v>PASS</v>
      </c>
      <c r="D10" s="26" t="str">
        <f t="shared" si="1"/>
        <v>B</v>
      </c>
      <c r="E10" s="26" t="str">
        <f t="shared" si="2"/>
        <v/>
      </c>
    </row>
    <row r="11" spans="1:7" x14ac:dyDescent="0.25">
      <c r="A11" s="25" t="s">
        <v>96</v>
      </c>
      <c r="B11" s="25">
        <v>32</v>
      </c>
      <c r="C11" s="26" t="str">
        <f t="shared" si="0"/>
        <v>FAIL</v>
      </c>
      <c r="D11" s="26" t="str">
        <f t="shared" si="1"/>
        <v>D</v>
      </c>
      <c r="E11" s="26" t="str">
        <f t="shared" si="2"/>
        <v>CALL</v>
      </c>
    </row>
    <row r="12" spans="1:7" x14ac:dyDescent="0.25">
      <c r="A12" s="25" t="s">
        <v>97</v>
      </c>
      <c r="B12" s="25">
        <v>45</v>
      </c>
      <c r="C12" s="26" t="str">
        <f t="shared" si="0"/>
        <v>PASS</v>
      </c>
      <c r="D12" s="26" t="str">
        <f t="shared" si="1"/>
        <v>C</v>
      </c>
      <c r="E12" s="26" t="str">
        <f t="shared" si="2"/>
        <v/>
      </c>
    </row>
    <row r="15" spans="1:7" x14ac:dyDescent="0.25">
      <c r="A15" s="23" t="s">
        <v>84</v>
      </c>
      <c r="B15" s="23" t="s">
        <v>99</v>
      </c>
      <c r="C15" s="23" t="s">
        <v>100</v>
      </c>
      <c r="D15" s="23" t="s">
        <v>101</v>
      </c>
      <c r="E15" s="23" t="s">
        <v>102</v>
      </c>
      <c r="F15" s="23" t="s">
        <v>103</v>
      </c>
    </row>
    <row r="16" spans="1:7" x14ac:dyDescent="0.25">
      <c r="A16" s="27" t="s">
        <v>88</v>
      </c>
      <c r="B16" s="27">
        <v>25</v>
      </c>
      <c r="C16" s="27">
        <v>65</v>
      </c>
      <c r="D16" s="27">
        <v>47</v>
      </c>
      <c r="E16" s="28" t="str">
        <f>IF(AND(B16&gt;35,C16&gt;35,D16&gt;35),"PASS","FAIL")</f>
        <v>FAIL</v>
      </c>
      <c r="F16" s="28" t="str">
        <f>IF(OR(B16&lt;=35,C16&lt;=35,D16&lt;=35),"FAIL","PASS")</f>
        <v>FAIL</v>
      </c>
    </row>
    <row r="17" spans="1:6" x14ac:dyDescent="0.25">
      <c r="A17" s="27" t="s">
        <v>89</v>
      </c>
      <c r="B17" s="27">
        <v>56</v>
      </c>
      <c r="C17" s="27">
        <v>23</v>
      </c>
      <c r="D17" s="27">
        <v>36</v>
      </c>
      <c r="E17" s="28" t="str">
        <f t="shared" ref="E17:E25" si="3">IF(AND(B17&gt;35,C17&gt;35,D17&gt;35),"PASS","FAIL")</f>
        <v>FAIL</v>
      </c>
      <c r="F17" s="28" t="str">
        <f t="shared" ref="F17:F25" si="4">IF(OR(B17&lt;=35,C17&lt;=35,D17&lt;=35),"FAIL","PASS")</f>
        <v>FAIL</v>
      </c>
    </row>
    <row r="18" spans="1:6" x14ac:dyDescent="0.25">
      <c r="A18" s="27" t="s">
        <v>90</v>
      </c>
      <c r="B18" s="27">
        <v>58</v>
      </c>
      <c r="C18" s="27">
        <v>65</v>
      </c>
      <c r="D18" s="27">
        <v>52</v>
      </c>
      <c r="E18" s="28" t="str">
        <f t="shared" si="3"/>
        <v>PASS</v>
      </c>
      <c r="F18" s="28" t="str">
        <f t="shared" si="4"/>
        <v>PASS</v>
      </c>
    </row>
    <row r="19" spans="1:6" x14ac:dyDescent="0.25">
      <c r="A19" s="27" t="s">
        <v>91</v>
      </c>
      <c r="B19" s="27">
        <v>74</v>
      </c>
      <c r="C19" s="27">
        <v>47</v>
      </c>
      <c r="D19" s="27">
        <v>45</v>
      </c>
      <c r="E19" s="28" t="str">
        <f t="shared" si="3"/>
        <v>PASS</v>
      </c>
      <c r="F19" s="28" t="str">
        <f t="shared" si="4"/>
        <v>PASS</v>
      </c>
    </row>
    <row r="20" spans="1:6" x14ac:dyDescent="0.25">
      <c r="A20" s="27" t="s">
        <v>92</v>
      </c>
      <c r="B20" s="27">
        <v>58</v>
      </c>
      <c r="C20" s="27">
        <v>85</v>
      </c>
      <c r="D20" s="27">
        <v>87</v>
      </c>
      <c r="E20" s="28" t="str">
        <f t="shared" si="3"/>
        <v>PASS</v>
      </c>
      <c r="F20" s="28" t="str">
        <f t="shared" si="4"/>
        <v>PASS</v>
      </c>
    </row>
    <row r="21" spans="1:6" x14ac:dyDescent="0.25">
      <c r="A21" s="27" t="s">
        <v>93</v>
      </c>
      <c r="B21" s="27">
        <v>66</v>
      </c>
      <c r="C21" s="27">
        <v>63</v>
      </c>
      <c r="D21" s="27">
        <v>35</v>
      </c>
      <c r="E21" s="28" t="str">
        <f t="shared" si="3"/>
        <v>FAIL</v>
      </c>
      <c r="F21" s="28" t="str">
        <f t="shared" si="4"/>
        <v>FAIL</v>
      </c>
    </row>
    <row r="22" spans="1:6" x14ac:dyDescent="0.25">
      <c r="A22" s="27" t="s">
        <v>94</v>
      </c>
      <c r="B22" s="27">
        <v>32</v>
      </c>
      <c r="C22" s="27">
        <v>21</v>
      </c>
      <c r="D22" s="27">
        <v>74</v>
      </c>
      <c r="E22" s="28" t="str">
        <f t="shared" si="3"/>
        <v>FAIL</v>
      </c>
      <c r="F22" s="28" t="str">
        <f t="shared" si="4"/>
        <v>FAIL</v>
      </c>
    </row>
    <row r="23" spans="1:6" x14ac:dyDescent="0.25">
      <c r="A23" s="27" t="s">
        <v>95</v>
      </c>
      <c r="B23" s="27">
        <v>14</v>
      </c>
      <c r="C23" s="27">
        <v>45</v>
      </c>
      <c r="D23" s="27">
        <v>52</v>
      </c>
      <c r="E23" s="28" t="str">
        <f t="shared" si="3"/>
        <v>FAIL</v>
      </c>
      <c r="F23" s="28" t="str">
        <f t="shared" si="4"/>
        <v>FAIL</v>
      </c>
    </row>
    <row r="24" spans="1:6" x14ac:dyDescent="0.25">
      <c r="A24" s="27" t="s">
        <v>96</v>
      </c>
      <c r="B24" s="27">
        <v>56</v>
      </c>
      <c r="C24" s="27">
        <v>87</v>
      </c>
      <c r="D24" s="27">
        <v>63</v>
      </c>
      <c r="E24" s="28" t="str">
        <f t="shared" si="3"/>
        <v>PASS</v>
      </c>
      <c r="F24" s="28" t="str">
        <f t="shared" si="4"/>
        <v>PASS</v>
      </c>
    </row>
    <row r="25" spans="1:6" x14ac:dyDescent="0.25">
      <c r="A25" s="27" t="s">
        <v>97</v>
      </c>
      <c r="B25" s="27">
        <v>78</v>
      </c>
      <c r="C25" s="27">
        <v>54</v>
      </c>
      <c r="D25" s="27">
        <v>42</v>
      </c>
      <c r="E25" s="28" t="str">
        <f t="shared" si="3"/>
        <v>PASS</v>
      </c>
      <c r="F25" s="28" t="str">
        <f t="shared" si="4"/>
        <v>PASS</v>
      </c>
    </row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selection activeCell="F3" sqref="F3"/>
    </sheetView>
  </sheetViews>
  <sheetFormatPr defaultRowHeight="15" x14ac:dyDescent="0.25"/>
  <cols>
    <col min="8" max="8" width="13" customWidth="1"/>
  </cols>
  <sheetData>
    <row r="1" spans="1:10" x14ac:dyDescent="0.25">
      <c r="A1" s="4" t="s">
        <v>2</v>
      </c>
      <c r="B1" s="4" t="s">
        <v>67</v>
      </c>
      <c r="C1" s="4" t="s">
        <v>68</v>
      </c>
      <c r="E1" s="181" t="s">
        <v>69</v>
      </c>
      <c r="F1" s="181"/>
      <c r="G1" s="17"/>
      <c r="H1" s="181" t="s">
        <v>70</v>
      </c>
      <c r="I1" s="181"/>
      <c r="J1" s="181"/>
    </row>
    <row r="2" spans="1:10" x14ac:dyDescent="0.25">
      <c r="A2" s="9" t="s">
        <v>71</v>
      </c>
      <c r="B2" s="9" t="s">
        <v>72</v>
      </c>
      <c r="C2" s="9">
        <v>100</v>
      </c>
      <c r="E2" s="18" t="s">
        <v>2</v>
      </c>
      <c r="F2" s="19" t="s">
        <v>73</v>
      </c>
      <c r="G2" s="17"/>
      <c r="H2" s="18" t="s">
        <v>2</v>
      </c>
      <c r="I2" s="20" t="s">
        <v>67</v>
      </c>
      <c r="J2" s="18" t="s">
        <v>73</v>
      </c>
    </row>
    <row r="3" spans="1:10" x14ac:dyDescent="0.25">
      <c r="A3" s="9" t="s">
        <v>74</v>
      </c>
      <c r="B3" s="9" t="s">
        <v>75</v>
      </c>
      <c r="C3" s="9">
        <v>245</v>
      </c>
      <c r="E3" s="21" t="s">
        <v>74</v>
      </c>
      <c r="F3" s="14">
        <f>COUNTIF(A2:A23,E3)</f>
        <v>7</v>
      </c>
      <c r="G3" s="17"/>
      <c r="H3" s="21" t="s">
        <v>71</v>
      </c>
      <c r="I3" s="14" t="s">
        <v>77</v>
      </c>
      <c r="J3" s="14">
        <f>COUNTIFS(A2:A23,H3,B2:B23,I3)</f>
        <v>2</v>
      </c>
    </row>
    <row r="4" spans="1:10" x14ac:dyDescent="0.25">
      <c r="A4" s="9" t="s">
        <v>76</v>
      </c>
      <c r="B4" s="9" t="s">
        <v>77</v>
      </c>
      <c r="C4" s="9">
        <v>152</v>
      </c>
      <c r="F4" s="17"/>
      <c r="G4" s="17"/>
      <c r="H4" s="17"/>
      <c r="I4" s="17"/>
      <c r="J4" s="17"/>
    </row>
    <row r="5" spans="1:10" x14ac:dyDescent="0.25">
      <c r="A5" s="9" t="s">
        <v>76</v>
      </c>
      <c r="B5" s="9" t="s">
        <v>78</v>
      </c>
      <c r="C5" s="9">
        <v>230</v>
      </c>
      <c r="E5" s="181" t="s">
        <v>79</v>
      </c>
      <c r="F5" s="181"/>
      <c r="G5" s="17"/>
      <c r="H5" s="182" t="s">
        <v>80</v>
      </c>
      <c r="I5" s="183"/>
      <c r="J5" s="183"/>
    </row>
    <row r="6" spans="1:10" x14ac:dyDescent="0.25">
      <c r="A6" s="9" t="s">
        <v>74</v>
      </c>
      <c r="B6" s="9" t="s">
        <v>81</v>
      </c>
      <c r="C6" s="9">
        <v>158</v>
      </c>
      <c r="E6" s="18" t="s">
        <v>2</v>
      </c>
      <c r="F6" s="18" t="s">
        <v>73</v>
      </c>
      <c r="G6" s="17"/>
      <c r="H6" s="18" t="s">
        <v>2</v>
      </c>
      <c r="I6" s="20" t="s">
        <v>67</v>
      </c>
      <c r="J6" s="18" t="s">
        <v>73</v>
      </c>
    </row>
    <row r="7" spans="1:10" x14ac:dyDescent="0.25">
      <c r="A7" s="9" t="s">
        <v>74</v>
      </c>
      <c r="B7" s="9" t="s">
        <v>78</v>
      </c>
      <c r="C7" s="9">
        <v>178</v>
      </c>
      <c r="E7" s="21" t="s">
        <v>74</v>
      </c>
      <c r="F7" s="14">
        <f>SUMIF(A2:A23,E7,C2:C23)</f>
        <v>1280</v>
      </c>
      <c r="G7" s="17"/>
      <c r="H7" s="21" t="s">
        <v>71</v>
      </c>
      <c r="I7" s="14" t="s">
        <v>77</v>
      </c>
      <c r="J7" s="14">
        <f>SUMIFS(C2:C23,A2:A23,H7,B2:B23,I7)</f>
        <v>673</v>
      </c>
    </row>
    <row r="8" spans="1:10" x14ac:dyDescent="0.25">
      <c r="A8" s="9" t="s">
        <v>76</v>
      </c>
      <c r="B8" s="9" t="s">
        <v>81</v>
      </c>
      <c r="C8" s="9">
        <v>145</v>
      </c>
      <c r="E8" s="17"/>
      <c r="F8" s="17"/>
      <c r="G8" s="17"/>
      <c r="H8" s="17"/>
      <c r="I8" s="17"/>
      <c r="J8" s="17"/>
    </row>
    <row r="9" spans="1:10" x14ac:dyDescent="0.25">
      <c r="A9" s="9" t="s">
        <v>71</v>
      </c>
      <c r="B9" s="9" t="s">
        <v>72</v>
      </c>
      <c r="C9" s="9">
        <v>120</v>
      </c>
      <c r="E9" s="181" t="s">
        <v>82</v>
      </c>
      <c r="F9" s="181"/>
      <c r="G9" s="17"/>
      <c r="H9" s="182" t="s">
        <v>83</v>
      </c>
      <c r="I9" s="183"/>
      <c r="J9" s="183"/>
    </row>
    <row r="10" spans="1:10" x14ac:dyDescent="0.25">
      <c r="A10" s="9" t="s">
        <v>71</v>
      </c>
      <c r="B10" s="9" t="s">
        <v>75</v>
      </c>
      <c r="C10" s="9">
        <v>332</v>
      </c>
      <c r="E10" s="18" t="s">
        <v>2</v>
      </c>
      <c r="F10" s="18" t="s">
        <v>73</v>
      </c>
      <c r="G10" s="17"/>
      <c r="H10" s="18" t="s">
        <v>2</v>
      </c>
      <c r="I10" s="20" t="s">
        <v>67</v>
      </c>
      <c r="J10" s="18" t="s">
        <v>73</v>
      </c>
    </row>
    <row r="11" spans="1:10" x14ac:dyDescent="0.25">
      <c r="A11" s="9" t="s">
        <v>76</v>
      </c>
      <c r="B11" s="9" t="s">
        <v>81</v>
      </c>
      <c r="C11" s="9">
        <v>114</v>
      </c>
      <c r="E11" s="21" t="s">
        <v>71</v>
      </c>
      <c r="F11" s="22">
        <f>AVERAGEIF(A2:A23,E11,C2:C23)</f>
        <v>228.5</v>
      </c>
      <c r="G11" s="17"/>
      <c r="H11" s="21" t="s">
        <v>71</v>
      </c>
      <c r="I11" s="14" t="s">
        <v>77</v>
      </c>
      <c r="J11" s="14">
        <f>AVERAGEIFS(C2:C23,A2:A23,H11,B2:B23,I11)</f>
        <v>336.5</v>
      </c>
    </row>
    <row r="12" spans="1:10" x14ac:dyDescent="0.25">
      <c r="A12" s="9" t="s">
        <v>71</v>
      </c>
      <c r="B12" s="9" t="s">
        <v>77</v>
      </c>
      <c r="C12" s="9">
        <v>452</v>
      </c>
    </row>
    <row r="13" spans="1:10" x14ac:dyDescent="0.25">
      <c r="A13" s="9" t="s">
        <v>74</v>
      </c>
      <c r="B13" s="9" t="s">
        <v>75</v>
      </c>
      <c r="C13" s="9">
        <v>132</v>
      </c>
    </row>
    <row r="14" spans="1:10" x14ac:dyDescent="0.25">
      <c r="A14" s="9" t="s">
        <v>74</v>
      </c>
      <c r="B14" s="9" t="s">
        <v>77</v>
      </c>
      <c r="C14" s="9">
        <v>156</v>
      </c>
    </row>
    <row r="15" spans="1:10" x14ac:dyDescent="0.25">
      <c r="A15" s="9" t="s">
        <v>71</v>
      </c>
      <c r="B15" s="9" t="s">
        <v>78</v>
      </c>
      <c r="C15" s="9">
        <v>287</v>
      </c>
    </row>
    <row r="16" spans="1:10" x14ac:dyDescent="0.25">
      <c r="A16" s="9" t="s">
        <v>76</v>
      </c>
      <c r="B16" s="9" t="s">
        <v>81</v>
      </c>
      <c r="C16" s="9">
        <v>245</v>
      </c>
    </row>
    <row r="17" spans="1:3" x14ac:dyDescent="0.25">
      <c r="A17" s="9" t="s">
        <v>71</v>
      </c>
      <c r="B17" s="9" t="s">
        <v>77</v>
      </c>
      <c r="C17" s="9">
        <v>221</v>
      </c>
    </row>
    <row r="18" spans="1:3" x14ac:dyDescent="0.25">
      <c r="A18" s="9" t="s">
        <v>76</v>
      </c>
      <c r="B18" s="9" t="s">
        <v>72</v>
      </c>
      <c r="C18" s="9">
        <v>130</v>
      </c>
    </row>
    <row r="19" spans="1:3" x14ac:dyDescent="0.25">
      <c r="A19" s="9" t="s">
        <v>74</v>
      </c>
      <c r="B19" s="9" t="s">
        <v>78</v>
      </c>
      <c r="C19" s="9">
        <v>158</v>
      </c>
    </row>
    <row r="20" spans="1:3" x14ac:dyDescent="0.25">
      <c r="A20" s="9" t="s">
        <v>71</v>
      </c>
      <c r="B20" s="9" t="s">
        <v>81</v>
      </c>
      <c r="C20" s="9">
        <v>174</v>
      </c>
    </row>
    <row r="21" spans="1:3" x14ac:dyDescent="0.25">
      <c r="A21" s="9" t="s">
        <v>76</v>
      </c>
      <c r="B21" s="9" t="s">
        <v>77</v>
      </c>
      <c r="C21" s="9">
        <v>256</v>
      </c>
    </row>
    <row r="22" spans="1:3" x14ac:dyDescent="0.25">
      <c r="A22" s="9" t="s">
        <v>74</v>
      </c>
      <c r="B22" s="9" t="s">
        <v>75</v>
      </c>
      <c r="C22" s="9">
        <v>253</v>
      </c>
    </row>
    <row r="23" spans="1:3" x14ac:dyDescent="0.25">
      <c r="A23" s="9" t="s">
        <v>71</v>
      </c>
      <c r="B23" s="9" t="s">
        <v>78</v>
      </c>
      <c r="C23" s="9">
        <v>142</v>
      </c>
    </row>
  </sheetData>
  <mergeCells count="6">
    <mergeCell ref="E1:F1"/>
    <mergeCell ref="H1:J1"/>
    <mergeCell ref="E5:F5"/>
    <mergeCell ref="H5:J5"/>
    <mergeCell ref="E9:F9"/>
    <mergeCell ref="H9:J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2"/>
  <sheetViews>
    <sheetView workbookViewId="0">
      <selection activeCell="B15" sqref="B15"/>
    </sheetView>
  </sheetViews>
  <sheetFormatPr defaultRowHeight="15" x14ac:dyDescent="0.25"/>
  <cols>
    <col min="1" max="1" width="17.140625" customWidth="1"/>
    <col min="2" max="2" width="15.5703125" customWidth="1"/>
    <col min="3" max="3" width="14.28515625" customWidth="1"/>
    <col min="4" max="4" width="38.140625" customWidth="1"/>
  </cols>
  <sheetData>
    <row r="1" spans="1:4" x14ac:dyDescent="0.25">
      <c r="A1" s="186" t="s">
        <v>104</v>
      </c>
      <c r="B1" s="186"/>
      <c r="C1" s="186"/>
      <c r="D1" s="184"/>
    </row>
    <row r="2" spans="1:4" x14ac:dyDescent="0.25">
      <c r="A2" s="186"/>
      <c r="B2" s="186"/>
      <c r="C2" s="186"/>
      <c r="D2" s="184"/>
    </row>
    <row r="3" spans="1:4" ht="19.5" x14ac:dyDescent="0.3">
      <c r="A3" s="29"/>
      <c r="B3" s="29"/>
      <c r="C3" s="29"/>
      <c r="D3" s="29"/>
    </row>
    <row r="4" spans="1:4" ht="19.5" x14ac:dyDescent="0.25">
      <c r="A4" s="184" t="s">
        <v>105</v>
      </c>
      <c r="B4" s="185"/>
      <c r="C4" s="185"/>
      <c r="D4" s="185"/>
    </row>
    <row r="5" spans="1:4" ht="19.5" x14ac:dyDescent="0.25">
      <c r="A5" s="30" t="s">
        <v>106</v>
      </c>
      <c r="B5" s="30" t="s">
        <v>107</v>
      </c>
      <c r="C5" s="31" t="s">
        <v>108</v>
      </c>
      <c r="D5" s="32" t="s">
        <v>109</v>
      </c>
    </row>
    <row r="6" spans="1:4" ht="19.5" x14ac:dyDescent="0.25">
      <c r="A6" s="33">
        <v>1500</v>
      </c>
      <c r="B6" s="34">
        <v>0.1</v>
      </c>
      <c r="C6" s="33">
        <v>1</v>
      </c>
      <c r="D6" s="35">
        <f>A6*B6*C6</f>
        <v>150</v>
      </c>
    </row>
    <row r="7" spans="1:4" ht="19.5" x14ac:dyDescent="0.25">
      <c r="A7" s="36"/>
      <c r="B7" s="36"/>
      <c r="C7" s="36"/>
      <c r="D7" s="36"/>
    </row>
    <row r="8" spans="1:4" ht="19.5" x14ac:dyDescent="0.25">
      <c r="A8" s="184" t="s">
        <v>110</v>
      </c>
      <c r="B8" s="185"/>
      <c r="C8" s="185"/>
      <c r="D8" s="185"/>
    </row>
    <row r="9" spans="1:4" ht="19.5" x14ac:dyDescent="0.25">
      <c r="A9" s="37" t="s">
        <v>106</v>
      </c>
      <c r="B9" s="37" t="s">
        <v>107</v>
      </c>
      <c r="C9" s="38" t="s">
        <v>111</v>
      </c>
      <c r="D9" s="32" t="s">
        <v>109</v>
      </c>
    </row>
    <row r="10" spans="1:4" ht="19.5" x14ac:dyDescent="0.25">
      <c r="A10" s="33">
        <v>1500</v>
      </c>
      <c r="B10" s="34">
        <v>0.1</v>
      </c>
      <c r="C10" s="33">
        <v>1</v>
      </c>
      <c r="D10" s="35">
        <f>A10*B10*C10*6/12</f>
        <v>75</v>
      </c>
    </row>
    <row r="11" spans="1:4" ht="19.5" x14ac:dyDescent="0.25">
      <c r="A11" s="36"/>
      <c r="B11" s="36"/>
      <c r="C11" s="36"/>
      <c r="D11" s="36"/>
    </row>
    <row r="12" spans="1:4" ht="19.5" x14ac:dyDescent="0.25">
      <c r="A12" s="184" t="s">
        <v>112</v>
      </c>
      <c r="B12" s="185"/>
      <c r="C12" s="185"/>
      <c r="D12" s="185"/>
    </row>
    <row r="13" spans="1:4" ht="19.5" x14ac:dyDescent="0.25">
      <c r="A13" s="37" t="s">
        <v>106</v>
      </c>
      <c r="B13" s="37" t="s">
        <v>107</v>
      </c>
      <c r="C13" s="38" t="s">
        <v>108</v>
      </c>
      <c r="D13" s="32" t="s">
        <v>109</v>
      </c>
    </row>
    <row r="14" spans="1:4" ht="19.5" x14ac:dyDescent="0.25">
      <c r="A14" s="33">
        <v>1500</v>
      </c>
      <c r="B14" s="34">
        <v>0.1</v>
      </c>
      <c r="C14" s="33">
        <v>10</v>
      </c>
      <c r="D14" s="39">
        <f>A14*B14*C14/12</f>
        <v>125</v>
      </c>
    </row>
    <row r="15" spans="1:4" ht="19.5" x14ac:dyDescent="0.25">
      <c r="A15" s="36" t="s">
        <v>113</v>
      </c>
      <c r="B15" s="36"/>
      <c r="C15" s="36"/>
      <c r="D15" s="36"/>
    </row>
    <row r="16" spans="1:4" ht="19.5" x14ac:dyDescent="0.25">
      <c r="A16" s="184" t="s">
        <v>114</v>
      </c>
      <c r="B16" s="185"/>
      <c r="C16" s="185"/>
      <c r="D16" s="185"/>
    </row>
    <row r="17" spans="1:4" ht="19.5" x14ac:dyDescent="0.25">
      <c r="A17" s="37" t="s">
        <v>106</v>
      </c>
      <c r="B17" s="37" t="s">
        <v>115</v>
      </c>
      <c r="C17" s="38" t="s">
        <v>108</v>
      </c>
      <c r="D17" s="32" t="s">
        <v>109</v>
      </c>
    </row>
    <row r="18" spans="1:4" ht="19.5" x14ac:dyDescent="0.25">
      <c r="A18" s="33">
        <v>1500</v>
      </c>
      <c r="B18" s="34">
        <v>0.1</v>
      </c>
      <c r="C18" s="33">
        <v>1</v>
      </c>
      <c r="D18" s="35">
        <f>A18*B18*C18/4</f>
        <v>37.5</v>
      </c>
    </row>
    <row r="19" spans="1:4" ht="19.5" x14ac:dyDescent="0.25">
      <c r="A19" s="36"/>
      <c r="B19" s="36"/>
      <c r="C19" s="36"/>
      <c r="D19" s="36"/>
    </row>
    <row r="20" spans="1:4" ht="19.5" x14ac:dyDescent="0.25">
      <c r="A20" s="184" t="s">
        <v>116</v>
      </c>
      <c r="B20" s="185"/>
      <c r="C20" s="185"/>
      <c r="D20" s="185"/>
    </row>
    <row r="21" spans="1:4" ht="19.5" x14ac:dyDescent="0.25">
      <c r="A21" s="37" t="s">
        <v>106</v>
      </c>
      <c r="B21" s="37" t="s">
        <v>115</v>
      </c>
      <c r="C21" s="38" t="s">
        <v>108</v>
      </c>
      <c r="D21" s="32" t="s">
        <v>109</v>
      </c>
    </row>
    <row r="22" spans="1:4" ht="19.5" x14ac:dyDescent="0.25">
      <c r="A22" s="33">
        <v>1500</v>
      </c>
      <c r="B22" s="34">
        <v>0.1</v>
      </c>
      <c r="C22" s="33">
        <v>1</v>
      </c>
      <c r="D22" s="40">
        <f>A22*B22*C22/365</f>
        <v>0.41095890410958902</v>
      </c>
    </row>
  </sheetData>
  <mergeCells count="6">
    <mergeCell ref="A20:D20"/>
    <mergeCell ref="A1:D2"/>
    <mergeCell ref="A4:D4"/>
    <mergeCell ref="A8:D8"/>
    <mergeCell ref="A12:D12"/>
    <mergeCell ref="A16:D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6"/>
  <sheetViews>
    <sheetView workbookViewId="0">
      <selection activeCell="G6" sqref="G6"/>
    </sheetView>
  </sheetViews>
  <sheetFormatPr defaultRowHeight="15" x14ac:dyDescent="0.25"/>
  <cols>
    <col min="1" max="1" width="16.140625" customWidth="1"/>
    <col min="2" max="2" width="16.42578125" customWidth="1"/>
    <col min="3" max="3" width="18.42578125" customWidth="1"/>
    <col min="4" max="4" width="27" customWidth="1"/>
  </cols>
  <sheetData>
    <row r="1" spans="1:11" x14ac:dyDescent="0.25">
      <c r="A1" s="188" t="s">
        <v>118</v>
      </c>
      <c r="B1" s="189"/>
      <c r="C1" s="189"/>
      <c r="D1" s="189"/>
    </row>
    <row r="2" spans="1:11" x14ac:dyDescent="0.25">
      <c r="A2" s="188"/>
      <c r="B2" s="189"/>
      <c r="C2" s="189"/>
      <c r="D2" s="189"/>
    </row>
    <row r="3" spans="1:11" ht="19.5" x14ac:dyDescent="0.25">
      <c r="A3" s="41"/>
      <c r="B3" s="41"/>
      <c r="C3" s="41"/>
      <c r="D3" s="41"/>
    </row>
    <row r="4" spans="1:11" ht="19.5" x14ac:dyDescent="0.3">
      <c r="A4" s="190" t="s">
        <v>105</v>
      </c>
      <c r="B4" s="190"/>
      <c r="C4" s="190"/>
      <c r="D4" s="191"/>
      <c r="G4" t="s">
        <v>336</v>
      </c>
      <c r="H4" t="s">
        <v>337</v>
      </c>
    </row>
    <row r="5" spans="1:11" ht="19.5" x14ac:dyDescent="0.25">
      <c r="A5" s="42" t="s">
        <v>106</v>
      </c>
      <c r="B5" s="30" t="s">
        <v>107</v>
      </c>
      <c r="C5" s="31" t="s">
        <v>108</v>
      </c>
      <c r="D5" s="30" t="s">
        <v>117</v>
      </c>
    </row>
    <row r="6" spans="1:11" ht="19.5" x14ac:dyDescent="0.25">
      <c r="A6" s="43">
        <v>1500</v>
      </c>
      <c r="B6" s="44">
        <v>0.1</v>
      </c>
      <c r="C6" s="45">
        <v>1</v>
      </c>
      <c r="D6" s="46">
        <f>A6*(1+B6)^C6-A6</f>
        <v>150.00000000000023</v>
      </c>
      <c r="G6">
        <f>A6*(1+B6)^C6-A6</f>
        <v>150.00000000000023</v>
      </c>
      <c r="K6" t="s">
        <v>338</v>
      </c>
    </row>
    <row r="7" spans="1:11" ht="19.5" x14ac:dyDescent="0.25">
      <c r="A7" s="47"/>
      <c r="B7" s="47"/>
      <c r="C7" s="47"/>
      <c r="D7" s="47"/>
      <c r="H7">
        <f>2^5</f>
        <v>32</v>
      </c>
    </row>
    <row r="8" spans="1:11" ht="19.5" x14ac:dyDescent="0.25">
      <c r="A8" s="187" t="s">
        <v>110</v>
      </c>
      <c r="B8" s="187"/>
      <c r="C8" s="187"/>
      <c r="D8" s="188"/>
      <c r="H8">
        <f>2*2*2*2*2</f>
        <v>32</v>
      </c>
    </row>
    <row r="9" spans="1:11" ht="19.5" x14ac:dyDescent="0.25">
      <c r="A9" s="48" t="s">
        <v>106</v>
      </c>
      <c r="B9" s="37" t="s">
        <v>107</v>
      </c>
      <c r="C9" s="38" t="s">
        <v>111</v>
      </c>
      <c r="D9" s="30" t="s">
        <v>117</v>
      </c>
    </row>
    <row r="10" spans="1:11" ht="19.5" x14ac:dyDescent="0.25">
      <c r="A10" s="43">
        <v>1500</v>
      </c>
      <c r="B10" s="44">
        <v>0.1</v>
      </c>
      <c r="C10" s="45">
        <v>1</v>
      </c>
      <c r="D10" s="49">
        <f>A10*(1+B10/6)^(C10*6)-A10</f>
        <v>156.39063660622401</v>
      </c>
    </row>
    <row r="11" spans="1:11" ht="19.5" x14ac:dyDescent="0.25">
      <c r="A11" s="47"/>
      <c r="B11" s="47"/>
      <c r="C11" s="47"/>
      <c r="D11" s="47"/>
    </row>
    <row r="12" spans="1:11" ht="19.5" x14ac:dyDescent="0.25">
      <c r="A12" s="187" t="s">
        <v>112</v>
      </c>
      <c r="B12" s="187"/>
      <c r="C12" s="187"/>
      <c r="D12" s="188"/>
    </row>
    <row r="13" spans="1:11" ht="19.5" x14ac:dyDescent="0.25">
      <c r="A13" s="48" t="s">
        <v>106</v>
      </c>
      <c r="B13" s="37" t="s">
        <v>107</v>
      </c>
      <c r="C13" s="38" t="s">
        <v>108</v>
      </c>
      <c r="D13" s="30" t="s">
        <v>117</v>
      </c>
    </row>
    <row r="14" spans="1:11" ht="19.5" x14ac:dyDescent="0.25">
      <c r="A14" s="43">
        <v>1500</v>
      </c>
      <c r="B14" s="44">
        <v>0.1</v>
      </c>
      <c r="C14" s="45">
        <v>1</v>
      </c>
      <c r="D14" s="49">
        <f>A14*(1+B14/12)^(C14*12)-A14</f>
        <v>157.06960116194523</v>
      </c>
    </row>
    <row r="15" spans="1:11" ht="19.5" x14ac:dyDescent="0.25">
      <c r="A15" s="47"/>
      <c r="B15" s="47"/>
      <c r="C15" s="47"/>
      <c r="D15" s="47"/>
    </row>
    <row r="16" spans="1:11" ht="19.5" x14ac:dyDescent="0.25">
      <c r="A16" s="187" t="s">
        <v>114</v>
      </c>
      <c r="B16" s="187"/>
      <c r="C16" s="187"/>
      <c r="D16" s="188"/>
    </row>
    <row r="17" spans="1:7" ht="19.5" x14ac:dyDescent="0.25">
      <c r="A17" s="48" t="s">
        <v>106</v>
      </c>
      <c r="B17" s="37" t="s">
        <v>115</v>
      </c>
      <c r="C17" s="38" t="s">
        <v>108</v>
      </c>
      <c r="D17" s="30" t="s">
        <v>117</v>
      </c>
    </row>
    <row r="18" spans="1:7" ht="19.5" x14ac:dyDescent="0.25">
      <c r="A18" s="43">
        <v>1500</v>
      </c>
      <c r="B18" s="44">
        <v>0.1</v>
      </c>
      <c r="C18" s="45">
        <v>1</v>
      </c>
      <c r="D18" s="49">
        <f>A18*(1+B18/4)^(C18*4)-A18</f>
        <v>155.71933593749964</v>
      </c>
    </row>
    <row r="19" spans="1:7" ht="19.5" x14ac:dyDescent="0.25">
      <c r="A19" s="47"/>
      <c r="B19" s="47"/>
      <c r="C19" s="47"/>
      <c r="D19" s="47"/>
    </row>
    <row r="20" spans="1:7" ht="19.5" x14ac:dyDescent="0.25">
      <c r="A20" s="187" t="s">
        <v>116</v>
      </c>
      <c r="B20" s="187"/>
      <c r="C20" s="187"/>
      <c r="D20" s="188"/>
    </row>
    <row r="21" spans="1:7" ht="19.5" x14ac:dyDescent="0.25">
      <c r="A21" s="48" t="s">
        <v>106</v>
      </c>
      <c r="B21" s="37" t="s">
        <v>115</v>
      </c>
      <c r="C21" s="38" t="s">
        <v>108</v>
      </c>
      <c r="D21" s="30" t="s">
        <v>117</v>
      </c>
    </row>
    <row r="22" spans="1:7" ht="19.5" x14ac:dyDescent="0.25">
      <c r="A22" s="43">
        <v>1500</v>
      </c>
      <c r="B22" s="44">
        <v>0.1</v>
      </c>
      <c r="C22" s="45">
        <v>1</v>
      </c>
      <c r="D22" s="49">
        <f>A22*(1+B22/365)^(C22*365)-A22</f>
        <v>157.73367242434074</v>
      </c>
    </row>
    <row r="26" spans="1:7" x14ac:dyDescent="0.25">
      <c r="G26" t="s">
        <v>157</v>
      </c>
    </row>
  </sheetData>
  <mergeCells count="6">
    <mergeCell ref="A20:D20"/>
    <mergeCell ref="A1:D2"/>
    <mergeCell ref="A4:D4"/>
    <mergeCell ref="A8:D8"/>
    <mergeCell ref="A12:D12"/>
    <mergeCell ref="A16:D1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7"/>
  <sheetViews>
    <sheetView topLeftCell="A2" workbookViewId="0">
      <selection activeCell="H37" sqref="H37"/>
    </sheetView>
  </sheetViews>
  <sheetFormatPr defaultRowHeight="15" x14ac:dyDescent="0.25"/>
  <cols>
    <col min="1" max="1" width="31.140625" customWidth="1"/>
    <col min="2" max="2" width="16.85546875" customWidth="1"/>
    <col min="4" max="5" width="15" customWidth="1"/>
    <col min="6" max="6" width="12.28515625" customWidth="1"/>
    <col min="7" max="7" width="13.42578125" customWidth="1"/>
    <col min="8" max="8" width="17.140625" customWidth="1"/>
  </cols>
  <sheetData>
    <row r="1" spans="1:8" x14ac:dyDescent="0.25">
      <c r="A1" s="205" t="s">
        <v>119</v>
      </c>
      <c r="B1" s="205"/>
      <c r="D1" s="4" t="s">
        <v>145</v>
      </c>
      <c r="E1" s="4" t="s">
        <v>146</v>
      </c>
      <c r="F1" s="4" t="s">
        <v>147</v>
      </c>
      <c r="G1" s="4" t="s">
        <v>123</v>
      </c>
      <c r="H1" s="4" t="s">
        <v>148</v>
      </c>
    </row>
    <row r="2" spans="1:8" x14ac:dyDescent="0.25">
      <c r="A2" s="9" t="s">
        <v>120</v>
      </c>
      <c r="B2" s="50">
        <v>50000</v>
      </c>
      <c r="D2" s="9">
        <v>1</v>
      </c>
      <c r="E2" s="65">
        <f>-IPMT($B$3/12,D2,$B$4,$B$2)</f>
        <v>500</v>
      </c>
      <c r="F2" s="65">
        <f>-PPMT($B$3/12,D2,$B$4,$B$2)</f>
        <v>4779.103827558567</v>
      </c>
      <c r="G2" s="65">
        <f>E2+F2</f>
        <v>5279.103827558567</v>
      </c>
      <c r="H2" s="65">
        <f>B2-F2</f>
        <v>45220.896172441433</v>
      </c>
    </row>
    <row r="3" spans="1:8" x14ac:dyDescent="0.25">
      <c r="A3" s="9" t="s">
        <v>121</v>
      </c>
      <c r="B3" s="51">
        <v>0.12</v>
      </c>
      <c r="D3" s="9">
        <v>2</v>
      </c>
      <c r="E3" s="65">
        <f t="shared" ref="E3:E11" si="0">-IPMT($B$3/12,D3,$B$4,$B$2)</f>
        <v>452.20896172441434</v>
      </c>
      <c r="F3" s="65">
        <f t="shared" ref="F3:F11" si="1">-PPMT($B$3/12,D3,$B$4,$B$2)</f>
        <v>4826.8948658341533</v>
      </c>
      <c r="G3" s="65">
        <f t="shared" ref="G3:G11" si="2">E3+F3</f>
        <v>5279.1038275585679</v>
      </c>
      <c r="H3" s="65">
        <f>H2-F3</f>
        <v>40394.001306607279</v>
      </c>
    </row>
    <row r="4" spans="1:8" x14ac:dyDescent="0.25">
      <c r="A4" s="9" t="s">
        <v>122</v>
      </c>
      <c r="B4" s="9">
        <v>10</v>
      </c>
      <c r="D4" s="9">
        <v>3</v>
      </c>
      <c r="E4" s="65">
        <f t="shared" si="0"/>
        <v>403.94001306607282</v>
      </c>
      <c r="F4" s="65">
        <f t="shared" si="1"/>
        <v>4875.1638144924937</v>
      </c>
      <c r="G4" s="65">
        <f t="shared" si="2"/>
        <v>5279.1038275585661</v>
      </c>
      <c r="H4" s="65">
        <f t="shared" ref="H4:H10" si="3">H3-F4</f>
        <v>35518.837492114784</v>
      </c>
    </row>
    <row r="5" spans="1:8" x14ac:dyDescent="0.25">
      <c r="A5" s="52" t="s">
        <v>123</v>
      </c>
      <c r="B5" s="53">
        <f>-PMT(B3/12,B4,B2)</f>
        <v>5279.103827558567</v>
      </c>
      <c r="D5" s="9">
        <v>4</v>
      </c>
      <c r="E5" s="65">
        <f t="shared" si="0"/>
        <v>355.18837492114778</v>
      </c>
      <c r="F5" s="65">
        <f t="shared" si="1"/>
        <v>4923.9154526374195</v>
      </c>
      <c r="G5" s="65">
        <f t="shared" si="2"/>
        <v>5279.103827558567</v>
      </c>
      <c r="H5" s="65">
        <f t="shared" si="3"/>
        <v>30594.922039477366</v>
      </c>
    </row>
    <row r="6" spans="1:8" x14ac:dyDescent="0.25">
      <c r="D6" s="9">
        <v>5</v>
      </c>
      <c r="E6" s="65">
        <f t="shared" si="0"/>
        <v>305.94922039477365</v>
      </c>
      <c r="F6" s="65">
        <f t="shared" si="1"/>
        <v>4973.1546071637931</v>
      </c>
      <c r="G6" s="65">
        <f t="shared" si="2"/>
        <v>5279.103827558567</v>
      </c>
      <c r="H6" s="65">
        <f t="shared" si="3"/>
        <v>25621.767432313572</v>
      </c>
    </row>
    <row r="7" spans="1:8" x14ac:dyDescent="0.25">
      <c r="D7" s="9">
        <v>6</v>
      </c>
      <c r="E7" s="65">
        <f t="shared" si="0"/>
        <v>256.21767432313567</v>
      </c>
      <c r="F7" s="65">
        <f t="shared" si="1"/>
        <v>5022.8861532354313</v>
      </c>
      <c r="G7" s="65">
        <f t="shared" si="2"/>
        <v>5279.103827558567</v>
      </c>
      <c r="H7" s="65">
        <f t="shared" si="3"/>
        <v>20598.881279078141</v>
      </c>
    </row>
    <row r="8" spans="1:8" x14ac:dyDescent="0.25">
      <c r="A8" s="205" t="s">
        <v>124</v>
      </c>
      <c r="B8" s="205"/>
      <c r="D8" s="9">
        <v>7</v>
      </c>
      <c r="E8" s="65">
        <f t="shared" si="0"/>
        <v>205.98881279078134</v>
      </c>
      <c r="F8" s="65">
        <f t="shared" si="1"/>
        <v>5073.1150147677863</v>
      </c>
      <c r="G8" s="65">
        <f t="shared" si="2"/>
        <v>5279.1038275585679</v>
      </c>
      <c r="H8" s="65">
        <f t="shared" si="3"/>
        <v>15525.766264310354</v>
      </c>
    </row>
    <row r="9" spans="1:8" x14ac:dyDescent="0.25">
      <c r="A9" s="9" t="s">
        <v>120</v>
      </c>
      <c r="B9" s="54">
        <v>100000</v>
      </c>
      <c r="D9" s="9">
        <v>8</v>
      </c>
      <c r="E9" s="65">
        <f t="shared" si="0"/>
        <v>155.25766264310352</v>
      </c>
      <c r="F9" s="65">
        <f t="shared" si="1"/>
        <v>5123.8461649154642</v>
      </c>
      <c r="G9" s="65">
        <f t="shared" si="2"/>
        <v>5279.1038275585679</v>
      </c>
      <c r="H9" s="65">
        <f t="shared" si="3"/>
        <v>10401.920099394891</v>
      </c>
    </row>
    <row r="10" spans="1:8" x14ac:dyDescent="0.25">
      <c r="A10" s="9" t="s">
        <v>121</v>
      </c>
      <c r="B10" s="51">
        <v>0.12</v>
      </c>
      <c r="D10" s="9">
        <v>9</v>
      </c>
      <c r="E10" s="65">
        <f t="shared" si="0"/>
        <v>104.01920099394886</v>
      </c>
      <c r="F10" s="65">
        <f t="shared" si="1"/>
        <v>5175.0846265646178</v>
      </c>
      <c r="G10" s="65">
        <f t="shared" si="2"/>
        <v>5279.103827558567</v>
      </c>
      <c r="H10" s="65">
        <f t="shared" si="3"/>
        <v>5226.8354728302729</v>
      </c>
    </row>
    <row r="11" spans="1:8" x14ac:dyDescent="0.25">
      <c r="A11" s="9" t="s">
        <v>125</v>
      </c>
      <c r="B11" s="9">
        <v>2</v>
      </c>
      <c r="D11" s="9">
        <v>10</v>
      </c>
      <c r="E11" s="65">
        <f t="shared" si="0"/>
        <v>52.268354728302654</v>
      </c>
      <c r="F11" s="65">
        <f t="shared" si="1"/>
        <v>5226.8354728302647</v>
      </c>
      <c r="G11" s="65">
        <f t="shared" si="2"/>
        <v>5279.103827558567</v>
      </c>
      <c r="H11" s="65">
        <f>H10-F11</f>
        <v>8.1854523159563541E-12</v>
      </c>
    </row>
    <row r="12" spans="1:8" x14ac:dyDescent="0.25">
      <c r="A12" s="52" t="s">
        <v>123</v>
      </c>
      <c r="B12" s="55">
        <f>-PMT(B10/12,B11*12,B9)</f>
        <v>4707.3472223264698</v>
      </c>
    </row>
    <row r="13" spans="1:8" x14ac:dyDescent="0.25">
      <c r="D13" s="200" t="s">
        <v>149</v>
      </c>
      <c r="E13" s="201"/>
      <c r="F13" s="201"/>
      <c r="G13" s="201"/>
      <c r="H13" s="201"/>
    </row>
    <row r="14" spans="1:8" x14ac:dyDescent="0.25">
      <c r="D14" s="192" t="s">
        <v>150</v>
      </c>
      <c r="E14" s="192"/>
      <c r="F14" s="202">
        <v>1000</v>
      </c>
      <c r="G14" s="203"/>
      <c r="H14" s="204"/>
    </row>
    <row r="15" spans="1:8" x14ac:dyDescent="0.25">
      <c r="A15" s="206" t="s">
        <v>126</v>
      </c>
      <c r="B15" s="207"/>
      <c r="D15" s="192" t="s">
        <v>151</v>
      </c>
      <c r="E15" s="192"/>
      <c r="F15" s="202">
        <v>18</v>
      </c>
      <c r="G15" s="203"/>
      <c r="H15" s="204"/>
    </row>
    <row r="16" spans="1:8" x14ac:dyDescent="0.25">
      <c r="A16" s="9" t="s">
        <v>127</v>
      </c>
      <c r="B16" s="9">
        <v>4500</v>
      </c>
      <c r="D16" s="192" t="s">
        <v>130</v>
      </c>
      <c r="E16" s="192"/>
      <c r="F16" s="193">
        <v>0.06</v>
      </c>
      <c r="G16" s="194"/>
      <c r="H16" s="195"/>
    </row>
    <row r="17" spans="1:8" x14ac:dyDescent="0.25">
      <c r="A17" s="9" t="s">
        <v>128</v>
      </c>
      <c r="B17" s="9">
        <v>5</v>
      </c>
      <c r="D17" s="196" t="s">
        <v>152</v>
      </c>
      <c r="E17" s="196"/>
      <c r="F17" s="197">
        <f>-FV(F16/12,F15,F14,0,1)</f>
        <v>18879.716853080135</v>
      </c>
      <c r="G17" s="198"/>
      <c r="H17" s="199"/>
    </row>
    <row r="18" spans="1:8" x14ac:dyDescent="0.25">
      <c r="A18" s="9" t="s">
        <v>129</v>
      </c>
      <c r="B18" s="9">
        <v>12</v>
      </c>
    </row>
    <row r="19" spans="1:8" ht="30" x14ac:dyDescent="0.25">
      <c r="A19" s="9" t="s">
        <v>130</v>
      </c>
      <c r="B19" s="56">
        <v>0.12504053498973594</v>
      </c>
      <c r="D19" s="3" t="s">
        <v>151</v>
      </c>
      <c r="E19" s="66" t="s">
        <v>153</v>
      </c>
      <c r="F19" s="3" t="s">
        <v>154</v>
      </c>
      <c r="G19" s="3" t="s">
        <v>155</v>
      </c>
      <c r="H19" s="3" t="s">
        <v>156</v>
      </c>
    </row>
    <row r="20" spans="1:8" x14ac:dyDescent="0.25">
      <c r="A20" s="52" t="s">
        <v>131</v>
      </c>
      <c r="B20" s="57">
        <f>PV(B19/12,B17*B18,B16)</f>
        <v>-200000.00000016883</v>
      </c>
      <c r="D20" s="58">
        <v>1</v>
      </c>
      <c r="E20" s="58"/>
      <c r="F20" s="67">
        <v>1000</v>
      </c>
      <c r="G20" s="67">
        <f>F20*6%/12</f>
        <v>5</v>
      </c>
      <c r="H20" s="67">
        <f>F20+G20</f>
        <v>1005</v>
      </c>
    </row>
    <row r="21" spans="1:8" x14ac:dyDescent="0.25">
      <c r="D21" s="58">
        <v>2</v>
      </c>
      <c r="E21" s="67">
        <f>H20</f>
        <v>1005</v>
      </c>
      <c r="F21" s="67">
        <v>1000</v>
      </c>
      <c r="G21" s="67">
        <f>(E21+F21)*6%/12</f>
        <v>10.025</v>
      </c>
      <c r="H21" s="67">
        <f>SUM(E21:G21)</f>
        <v>2015.0250000000001</v>
      </c>
    </row>
    <row r="22" spans="1:8" x14ac:dyDescent="0.25">
      <c r="D22" s="58">
        <v>3</v>
      </c>
      <c r="E22" s="67">
        <f t="shared" ref="E22:E37" si="4">H21</f>
        <v>2015.0250000000001</v>
      </c>
      <c r="F22" s="67">
        <v>1000</v>
      </c>
      <c r="G22" s="67">
        <f t="shared" ref="G22:G37" si="5">(E22+F22)*6%/12</f>
        <v>15.075125</v>
      </c>
      <c r="H22" s="67">
        <f>SUM(E22:G22)</f>
        <v>3030.1001249999999</v>
      </c>
    </row>
    <row r="23" spans="1:8" x14ac:dyDescent="0.25">
      <c r="A23" s="206" t="s">
        <v>132</v>
      </c>
      <c r="B23" s="207"/>
      <c r="D23" s="58">
        <v>4</v>
      </c>
      <c r="E23" s="67">
        <f t="shared" si="4"/>
        <v>3030.1001249999999</v>
      </c>
      <c r="F23" s="67">
        <v>1000</v>
      </c>
      <c r="G23" s="67">
        <f t="shared" si="5"/>
        <v>20.150500624999999</v>
      </c>
      <c r="H23" s="67">
        <f>SUM(E23:G23)</f>
        <v>4050.2506256249999</v>
      </c>
    </row>
    <row r="24" spans="1:8" x14ac:dyDescent="0.25">
      <c r="A24" s="58" t="s">
        <v>133</v>
      </c>
      <c r="B24" s="9">
        <v>100000</v>
      </c>
      <c r="D24" s="58">
        <v>5</v>
      </c>
      <c r="E24" s="67">
        <f t="shared" si="4"/>
        <v>4050.2506256249999</v>
      </c>
      <c r="F24" s="67">
        <v>1000</v>
      </c>
      <c r="G24" s="67">
        <f t="shared" si="5"/>
        <v>25.251253128125001</v>
      </c>
      <c r="H24" s="67">
        <f>SUM(E24:G24)</f>
        <v>5075.5018787531253</v>
      </c>
    </row>
    <row r="25" spans="1:8" x14ac:dyDescent="0.25">
      <c r="A25" s="58" t="s">
        <v>134</v>
      </c>
      <c r="B25" s="51">
        <v>8.1525652320929939E-2</v>
      </c>
      <c r="D25" s="58">
        <v>6</v>
      </c>
      <c r="E25" s="67">
        <f t="shared" si="4"/>
        <v>5075.5018787531253</v>
      </c>
      <c r="F25" s="67">
        <v>1000</v>
      </c>
      <c r="G25" s="67">
        <f t="shared" si="5"/>
        <v>30.377509393765624</v>
      </c>
      <c r="H25" s="67">
        <f>SUM(E25:G25)</f>
        <v>6105.879388146891</v>
      </c>
    </row>
    <row r="26" spans="1:8" x14ac:dyDescent="0.25">
      <c r="A26" s="58" t="s">
        <v>135</v>
      </c>
      <c r="B26" s="59">
        <v>-5000</v>
      </c>
      <c r="D26" s="58">
        <v>7</v>
      </c>
      <c r="E26" s="67">
        <f t="shared" si="4"/>
        <v>6105.879388146891</v>
      </c>
      <c r="F26" s="67">
        <v>1000</v>
      </c>
      <c r="G26" s="67">
        <f t="shared" si="5"/>
        <v>35.529396940734451</v>
      </c>
      <c r="H26" s="67">
        <f>SUM(E26:G26)</f>
        <v>7141.4087850876258</v>
      </c>
    </row>
    <row r="27" spans="1:8" x14ac:dyDescent="0.25">
      <c r="A27" s="52" t="s">
        <v>136</v>
      </c>
      <c r="B27" s="60">
        <f>NPER(B25/12,B26,B24)</f>
        <v>21.568861250427666</v>
      </c>
      <c r="D27" s="58">
        <v>8</v>
      </c>
      <c r="E27" s="67">
        <f t="shared" si="4"/>
        <v>7141.4087850876258</v>
      </c>
      <c r="F27" s="67">
        <v>1000</v>
      </c>
      <c r="G27" s="67">
        <f t="shared" si="5"/>
        <v>40.707043925438128</v>
      </c>
      <c r="H27" s="67">
        <f>SUM(E27:G27)</f>
        <v>8182.1158290130643</v>
      </c>
    </row>
    <row r="28" spans="1:8" x14ac:dyDescent="0.25">
      <c r="A28" s="52" t="s">
        <v>137</v>
      </c>
      <c r="B28" s="61">
        <f>B27/12</f>
        <v>1.7974051042023056</v>
      </c>
      <c r="D28" s="58">
        <v>9</v>
      </c>
      <c r="E28" s="67">
        <f t="shared" si="4"/>
        <v>8182.1158290130643</v>
      </c>
      <c r="F28" s="67">
        <v>1000</v>
      </c>
      <c r="G28" s="67">
        <f t="shared" si="5"/>
        <v>45.91057914506532</v>
      </c>
      <c r="H28" s="67">
        <f>SUM(E28:G28)</f>
        <v>9228.0264081581299</v>
      </c>
    </row>
    <row r="29" spans="1:8" x14ac:dyDescent="0.25">
      <c r="D29" s="58">
        <v>10</v>
      </c>
      <c r="E29" s="67">
        <f t="shared" si="4"/>
        <v>9228.0264081581299</v>
      </c>
      <c r="F29" s="67">
        <v>1000</v>
      </c>
      <c r="G29" s="67">
        <f t="shared" si="5"/>
        <v>51.140132040790654</v>
      </c>
      <c r="H29" s="67">
        <f>SUM(E29:G29)</f>
        <v>10279.166540198921</v>
      </c>
    </row>
    <row r="30" spans="1:8" x14ac:dyDescent="0.25">
      <c r="D30" s="58">
        <v>11</v>
      </c>
      <c r="E30" s="67">
        <f t="shared" si="4"/>
        <v>10279.166540198921</v>
      </c>
      <c r="F30" s="67">
        <v>1000</v>
      </c>
      <c r="G30" s="67">
        <f t="shared" si="5"/>
        <v>56.39583270099461</v>
      </c>
      <c r="H30" s="67">
        <f>SUM(E30:G30)</f>
        <v>11335.562372899916</v>
      </c>
    </row>
    <row r="31" spans="1:8" x14ac:dyDescent="0.25">
      <c r="A31" s="200" t="s">
        <v>138</v>
      </c>
      <c r="B31" s="208"/>
      <c r="D31" s="58">
        <v>12</v>
      </c>
      <c r="E31" s="67">
        <f t="shared" si="4"/>
        <v>11335.562372899916</v>
      </c>
      <c r="F31" s="67">
        <v>1000</v>
      </c>
      <c r="G31" s="67">
        <f t="shared" si="5"/>
        <v>61.677811864499574</v>
      </c>
      <c r="H31" s="67">
        <f>SUM(E31:G31)</f>
        <v>12397.240184764416</v>
      </c>
    </row>
    <row r="32" spans="1:8" x14ac:dyDescent="0.25">
      <c r="A32" s="58" t="s">
        <v>139</v>
      </c>
      <c r="B32" s="9">
        <v>200000</v>
      </c>
      <c r="D32" s="58">
        <v>13</v>
      </c>
      <c r="E32" s="67">
        <f t="shared" si="4"/>
        <v>12397.240184764416</v>
      </c>
      <c r="F32" s="67">
        <v>1000</v>
      </c>
      <c r="G32" s="67">
        <f t="shared" si="5"/>
        <v>66.986200923822068</v>
      </c>
      <c r="H32" s="67">
        <f>SUM(E32:G32)</f>
        <v>13464.226385688238</v>
      </c>
    </row>
    <row r="33" spans="1:8" x14ac:dyDescent="0.25">
      <c r="A33" s="58" t="s">
        <v>140</v>
      </c>
      <c r="B33" s="9">
        <v>5000</v>
      </c>
      <c r="D33" s="58">
        <v>14</v>
      </c>
      <c r="E33" s="67">
        <f t="shared" si="4"/>
        <v>13464.226385688238</v>
      </c>
      <c r="F33" s="67">
        <v>1000</v>
      </c>
      <c r="G33" s="67">
        <f t="shared" si="5"/>
        <v>72.32113192844119</v>
      </c>
      <c r="H33" s="67">
        <f>SUM(E33:G33)</f>
        <v>14536.54751761668</v>
      </c>
    </row>
    <row r="34" spans="1:8" x14ac:dyDescent="0.25">
      <c r="A34" s="58" t="s">
        <v>141</v>
      </c>
      <c r="B34" s="9">
        <v>5</v>
      </c>
      <c r="D34" s="58">
        <v>15</v>
      </c>
      <c r="E34" s="67">
        <f t="shared" si="4"/>
        <v>14536.54751761668</v>
      </c>
      <c r="F34" s="67">
        <v>1000</v>
      </c>
      <c r="G34" s="67">
        <f t="shared" si="5"/>
        <v>77.682737588083398</v>
      </c>
      <c r="H34" s="67">
        <f>SUM(E34:G34)</f>
        <v>15614.230255204764</v>
      </c>
    </row>
    <row r="35" spans="1:8" x14ac:dyDescent="0.25">
      <c r="A35" s="58" t="s">
        <v>142</v>
      </c>
      <c r="B35" s="62">
        <v>60</v>
      </c>
      <c r="D35" s="58">
        <v>16</v>
      </c>
      <c r="E35" s="67">
        <f t="shared" si="4"/>
        <v>15614.230255204764</v>
      </c>
      <c r="F35" s="67">
        <v>1000</v>
      </c>
      <c r="G35" s="67">
        <f t="shared" si="5"/>
        <v>83.071151276023812</v>
      </c>
      <c r="H35" s="67">
        <f>SUM(E35:G35)</f>
        <v>16697.301406480787</v>
      </c>
    </row>
    <row r="36" spans="1:8" x14ac:dyDescent="0.25">
      <c r="A36" s="52" t="s">
        <v>143</v>
      </c>
      <c r="B36" s="63">
        <f>RATE(B34*12,-B33,B32)</f>
        <v>1.4394781000914004E-2</v>
      </c>
      <c r="D36" s="58">
        <v>17</v>
      </c>
      <c r="E36" s="67">
        <f t="shared" si="4"/>
        <v>16697.301406480787</v>
      </c>
      <c r="F36" s="67">
        <v>1000</v>
      </c>
      <c r="G36" s="67">
        <f t="shared" si="5"/>
        <v>88.486507032403935</v>
      </c>
      <c r="H36" s="67">
        <f>SUM(E36:G36)</f>
        <v>17785.787913513192</v>
      </c>
    </row>
    <row r="37" spans="1:8" x14ac:dyDescent="0.25">
      <c r="A37" s="52" t="s">
        <v>144</v>
      </c>
      <c r="B37" s="64">
        <f>B36*12</f>
        <v>0.17273737201096806</v>
      </c>
      <c r="D37" s="58">
        <v>18</v>
      </c>
      <c r="E37" s="67">
        <f t="shared" si="4"/>
        <v>17785.787913513192</v>
      </c>
      <c r="F37" s="67">
        <v>1000</v>
      </c>
      <c r="G37" s="67">
        <f t="shared" si="5"/>
        <v>93.928939567565962</v>
      </c>
      <c r="H37" s="67">
        <f>SUM(E37:G37)</f>
        <v>18879.716853080758</v>
      </c>
    </row>
  </sheetData>
  <mergeCells count="14">
    <mergeCell ref="A1:B1"/>
    <mergeCell ref="A8:B8"/>
    <mergeCell ref="A15:B15"/>
    <mergeCell ref="A23:B23"/>
    <mergeCell ref="A31:B31"/>
    <mergeCell ref="D16:E16"/>
    <mergeCell ref="F16:H16"/>
    <mergeCell ref="D17:E17"/>
    <mergeCell ref="F17:H17"/>
    <mergeCell ref="D13:H13"/>
    <mergeCell ref="D14:E14"/>
    <mergeCell ref="F14:H14"/>
    <mergeCell ref="D15:E15"/>
    <mergeCell ref="F15:H1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>
      <selection activeCell="C16" sqref="C1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Table of Content</vt:lpstr>
      <vt:lpstr>Arithmetic Operators</vt:lpstr>
      <vt:lpstr>Sheet2</vt:lpstr>
      <vt:lpstr>Text Function</vt:lpstr>
      <vt:lpstr>Date and time</vt:lpstr>
      <vt:lpstr>VLOOKUP</vt:lpstr>
      <vt:lpstr>VLOOKUP 2</vt:lpstr>
      <vt:lpstr>HLOOKUP</vt:lpstr>
      <vt:lpstr>INDEX AND MATCH</vt:lpstr>
      <vt:lpstr>LOGICAL FUNCTION 1</vt:lpstr>
      <vt:lpstr>LOGICAL FUNCTION 2</vt:lpstr>
      <vt:lpstr>Financial Function 1</vt:lpstr>
      <vt:lpstr>Financial Function 2</vt:lpstr>
      <vt:lpstr>Financial Function 3</vt:lpstr>
      <vt:lpstr>solver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SLAB4</dc:creator>
  <cp:lastModifiedBy>Pooja Vaidya</cp:lastModifiedBy>
  <dcterms:created xsi:type="dcterms:W3CDTF">2021-01-18T10:39:47Z</dcterms:created>
  <dcterms:modified xsi:type="dcterms:W3CDTF">2025-06-21T07:23:13Z</dcterms:modified>
</cp:coreProperties>
</file>