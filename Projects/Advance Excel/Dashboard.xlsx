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E:\PREETI\advance excel\"/>
    </mc:Choice>
  </mc:AlternateContent>
  <xr:revisionPtr revIDLastSave="0" documentId="13_ncr:20001_{6CFC3B6D-BF29-4257-AA4B-D2F3C780F247}" xr6:coauthVersionLast="36" xr6:coauthVersionMax="36" xr10:uidLastSave="{00000000-0000-0000-0000-000000000000}"/>
  <bookViews>
    <workbookView xWindow="0" yWindow="0" windowWidth="15360" windowHeight="8385" activeTab="2" xr2:uid="{5CF9B31B-9131-49B1-9049-CA362D61401E}"/>
  </bookViews>
  <sheets>
    <sheet name="Sheet2" sheetId="2" r:id="rId1"/>
    <sheet name="Sheet4" sheetId="4" r:id="rId2"/>
    <sheet name="Sheet1" sheetId="1" r:id="rId3"/>
    <sheet name="Sheet3" sheetId="3" r:id="rId4"/>
  </sheets>
  <externalReferences>
    <externalReference r:id="rId5"/>
  </externalReferences>
  <definedNames>
    <definedName name="NativeTimeline_Date">#N/A</definedName>
    <definedName name="Slicer_Manufacturer">#N/A</definedName>
  </definedNames>
  <calcPr calcId="191029"/>
  <pivotCaches>
    <pivotCache cacheId="6"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8" i="1" l="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alcChain>
</file>

<file path=xl/sharedStrings.xml><?xml version="1.0" encoding="utf-8"?>
<sst xmlns="http://schemas.openxmlformats.org/spreadsheetml/2006/main" count="918" uniqueCount="65">
  <si>
    <t>Product Key</t>
  </si>
  <si>
    <t>Date</t>
  </si>
  <si>
    <t>MONTH</t>
  </si>
  <si>
    <t>Sales Qty</t>
  </si>
  <si>
    <t>Selling Price</t>
  </si>
  <si>
    <t>Unit Cost</t>
  </si>
  <si>
    <t>Gross sales</t>
  </si>
  <si>
    <t>Total sales</t>
  </si>
  <si>
    <t>Product Name</t>
  </si>
  <si>
    <t>Manufacturer</t>
  </si>
  <si>
    <t>Sales Representative</t>
  </si>
  <si>
    <t>State</t>
  </si>
  <si>
    <t>Beer</t>
  </si>
  <si>
    <t>MoreDrinks</t>
  </si>
  <si>
    <t>Manufacturer A</t>
  </si>
  <si>
    <t>Joyee</t>
  </si>
  <si>
    <t>Texas</t>
  </si>
  <si>
    <t>Wine</t>
  </si>
  <si>
    <t>PartyForEver</t>
  </si>
  <si>
    <t>William</t>
  </si>
  <si>
    <t>California</t>
  </si>
  <si>
    <t>FreshFruits Juice</t>
  </si>
  <si>
    <t>Sparks</t>
  </si>
  <si>
    <t>Manufacturer C</t>
  </si>
  <si>
    <t>Fizzymix</t>
  </si>
  <si>
    <t>CaloRich</t>
  </si>
  <si>
    <t>Manufacturer B</t>
  </si>
  <si>
    <t>Bottled Water</t>
  </si>
  <si>
    <t>PureNow</t>
  </si>
  <si>
    <t>Rasheed</t>
  </si>
  <si>
    <t>Washington</t>
  </si>
  <si>
    <t>Brandy</t>
  </si>
  <si>
    <t>FallNow</t>
  </si>
  <si>
    <t>JoAnne</t>
  </si>
  <si>
    <t>New Jersey</t>
  </si>
  <si>
    <t>Orange Juice</t>
  </si>
  <si>
    <t>Smiley -Citru</t>
  </si>
  <si>
    <t>Milk</t>
  </si>
  <si>
    <t>Moowies</t>
  </si>
  <si>
    <t>Manufacturer D</t>
  </si>
  <si>
    <t>Sum of Total sales</t>
  </si>
  <si>
    <t>Row Labels</t>
  </si>
  <si>
    <t>Grand Total</t>
  </si>
  <si>
    <t>Sum of Selling Price</t>
  </si>
  <si>
    <t>Sum of Sales Qty</t>
  </si>
  <si>
    <t>#REF!</t>
  </si>
  <si>
    <t>Jan</t>
  </si>
  <si>
    <t>Feb</t>
  </si>
  <si>
    <t>Mar</t>
  </si>
  <si>
    <t>Apr</t>
  </si>
  <si>
    <t>Jun</t>
  </si>
  <si>
    <t>Jul</t>
  </si>
  <si>
    <t>Aug</t>
  </si>
  <si>
    <t>Oct</t>
  </si>
  <si>
    <t>Dec</t>
  </si>
  <si>
    <t>Sum of Gross sales</t>
  </si>
  <si>
    <t>May</t>
  </si>
  <si>
    <t>Sep</t>
  </si>
  <si>
    <t>Nov</t>
  </si>
  <si>
    <t>JAN</t>
  </si>
  <si>
    <t>FEB</t>
  </si>
  <si>
    <t>MAR</t>
  </si>
  <si>
    <t>APR</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</si>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</sst>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theme="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2" borderId="2" xfId="0" applyFont="1" applyFill="1" applyBorder="1" applyAlignment="1">
      <alignment horizontal="center" vertical="center"/>
    </xf>
    <xf numFmtId="0" fontId="0" fillId="0" borderId="4" xfId="0" applyBorder="1"/>
    <xf numFmtId="15" fontId="0" fillId="0" borderId="5" xfId="0" applyNumberFormat="1" applyBorder="1"/>
    <xf numFmtId="0" fontId="0" fillId="0" borderId="5" xfId="0" applyNumberFormat="1" applyBorder="1"/>
    <xf numFmtId="0" fontId="0" fillId="0" borderId="5" xfId="0" applyBorder="1"/>
    <xf numFmtId="0" fontId="0" fillId="0" borderId="6" xfId="0" applyBorder="1"/>
    <xf numFmtId="0" fontId="0" fillId="0" borderId="2" xfId="0" applyBorder="1"/>
    <xf numFmtId="0" fontId="0" fillId="0" borderId="7" xfId="0" applyBorder="1"/>
    <xf numFmtId="15" fontId="0" fillId="0" borderId="8" xfId="0" applyNumberFormat="1" applyBorder="1"/>
    <xf numFmtId="0" fontId="0" fillId="0" borderId="8" xfId="0" applyNumberFormat="1"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indent="1"/>
    </xf>
    <xf numFmtId="15" fontId="0" fillId="0" borderId="0" xfId="0" applyNumberFormat="1" applyAlignment="1">
      <alignment horizontal="left"/>
    </xf>
    <xf numFmtId="0" fontId="0" fillId="0" borderId="0" xfId="0" applyAlignment="1">
      <alignment horizontal="left" indent="1"/>
    </xf>
  </cellXfs>
  <cellStyles count="1">
    <cellStyle name="Normal" xfId="0" builtinId="0"/>
  </cellStyles>
  <dxfs count="18">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20" formatCode="dd\-mmm\-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sz val="11"/>
        <color theme="1"/>
      </font>
    </dxf>
    <dxf>
      <font>
        <color theme="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1"/>
        </patternFill>
      </fill>
    </dxf>
  </dxfs>
  <tableStyles count="2" defaultTableStyle="TableStyleMedium2" defaultPivotStyle="PivotStyleLight16">
    <tableStyle name="Slicer Style 1" pivot="0" table="0" count="1" xr9:uid="{88750E3E-840F-4EF3-B04C-8B83AA649682}">
      <tableStyleElement type="wholeTable" dxfId="17"/>
    </tableStyle>
    <tableStyle name="Timeline Style 1" pivot="0" table="0" count="8" xr9:uid="{FF90B6AB-3A45-4B32-AF4E-4820B370F42C}">
      <tableStyleElement type="wholeTable" dxfId="16"/>
      <tableStyleElement type="headerRow" dxfId="1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Sheet2!$A$4:$A$12</c:f>
              <c:strCache>
                <c:ptCount val="8"/>
                <c:pt idx="0">
                  <c:v>Beer</c:v>
                </c:pt>
                <c:pt idx="1">
                  <c:v>Bottled Water</c:v>
                </c:pt>
                <c:pt idx="2">
                  <c:v>Brandy</c:v>
                </c:pt>
                <c:pt idx="3">
                  <c:v>Fizzymix</c:v>
                </c:pt>
                <c:pt idx="4">
                  <c:v>FreshFruits Juice</c:v>
                </c:pt>
                <c:pt idx="5">
                  <c:v>Milk</c:v>
                </c:pt>
                <c:pt idx="6">
                  <c:v>Orange Juice</c:v>
                </c:pt>
                <c:pt idx="7">
                  <c:v>Wine</c:v>
                </c:pt>
              </c:strCache>
            </c:strRef>
          </c:cat>
          <c:val>
            <c:numRef>
              <c:f>Sheet2!$B$4:$B$12</c:f>
              <c:numCache>
                <c:formatCode>General</c:formatCode>
                <c:ptCount val="8"/>
                <c:pt idx="0">
                  <c:v>2350</c:v>
                </c:pt>
                <c:pt idx="1">
                  <c:v>1390</c:v>
                </c:pt>
                <c:pt idx="2">
                  <c:v>2604</c:v>
                </c:pt>
                <c:pt idx="3">
                  <c:v>3114</c:v>
                </c:pt>
                <c:pt idx="4">
                  <c:v>4068</c:v>
                </c:pt>
                <c:pt idx="5">
                  <c:v>1555</c:v>
                </c:pt>
                <c:pt idx="6">
                  <c:v>2898</c:v>
                </c:pt>
                <c:pt idx="7">
                  <c:v>2212</c:v>
                </c:pt>
              </c:numCache>
            </c:numRef>
          </c:val>
          <c:extLst>
            <c:ext xmlns:c16="http://schemas.microsoft.com/office/drawing/2014/chart" uri="{C3380CC4-5D6E-409C-BE32-E72D297353CC}">
              <c16:uniqueId val="{00000000-C785-4D10-949E-9216AAC8D978}"/>
            </c:ext>
          </c:extLst>
        </c:ser>
        <c:dLbls>
          <c:showLegendKey val="0"/>
          <c:showVal val="0"/>
          <c:showCatName val="0"/>
          <c:showSerName val="0"/>
          <c:showPercent val="0"/>
          <c:showBubbleSize val="0"/>
        </c:dLbls>
        <c:gapWidth val="100"/>
        <c:overlap val="-24"/>
        <c:axId val="1776550512"/>
        <c:axId val="1537607040"/>
      </c:barChart>
      <c:catAx>
        <c:axId val="1776550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607040"/>
        <c:crosses val="autoZero"/>
        <c:auto val="1"/>
        <c:lblAlgn val="ctr"/>
        <c:lblOffset val="100"/>
        <c:noMultiLvlLbl val="0"/>
      </c:catAx>
      <c:valAx>
        <c:axId val="1537607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55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ED-40F4-A327-55728F5B3E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ED-40F4-A327-55728F5B3ED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ED-40F4-A327-55728F5B3ED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CED-40F4-A327-55728F5B3EDD}"/>
              </c:ext>
            </c:extLst>
          </c:dPt>
          <c:cat>
            <c:strRef>
              <c:f>Sheet2!$D$4:$D$8</c:f>
              <c:strCache>
                <c:ptCount val="4"/>
                <c:pt idx="0">
                  <c:v>Manufacturer A</c:v>
                </c:pt>
                <c:pt idx="1">
                  <c:v>Manufacturer B</c:v>
                </c:pt>
                <c:pt idx="2">
                  <c:v>Manufacturer C</c:v>
                </c:pt>
                <c:pt idx="3">
                  <c:v>Manufacturer D</c:v>
                </c:pt>
              </c:strCache>
            </c:strRef>
          </c:cat>
          <c:val>
            <c:numRef>
              <c:f>Sheet2!$E$4:$E$8</c:f>
              <c:numCache>
                <c:formatCode>General</c:formatCode>
                <c:ptCount val="4"/>
                <c:pt idx="0">
                  <c:v>379</c:v>
                </c:pt>
                <c:pt idx="1">
                  <c:v>202</c:v>
                </c:pt>
                <c:pt idx="2">
                  <c:v>287</c:v>
                </c:pt>
                <c:pt idx="3">
                  <c:v>65</c:v>
                </c:pt>
              </c:numCache>
            </c:numRef>
          </c:val>
          <c:extLst>
            <c:ext xmlns:c16="http://schemas.microsoft.com/office/drawing/2014/chart" uri="{C3380CC4-5D6E-409C-BE32-E72D297353CC}">
              <c16:uniqueId val="{00000008-7CED-40F4-A327-55728F5B3E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cked"/>
        <c:varyColors val="0"/>
        <c:ser>
          <c:idx val="0"/>
          <c:order val="0"/>
          <c:tx>
            <c:strRef>
              <c:f>Sheet2!$H$4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Sheet2!$G$5:$G$18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#REF!</c:v>
                  </c:pt>
                </c:lvl>
              </c:multiLvlStrCache>
            </c:multiLvlStrRef>
          </c:cat>
          <c:val>
            <c:numRef>
              <c:f>Sheet2!$H$5:$H$18</c:f>
              <c:numCache>
                <c:formatCode>General</c:formatCode>
                <c:ptCount val="12"/>
                <c:pt idx="0">
                  <c:v>144</c:v>
                </c:pt>
                <c:pt idx="1">
                  <c:v>140</c:v>
                </c:pt>
                <c:pt idx="2">
                  <c:v>237</c:v>
                </c:pt>
                <c:pt idx="3">
                  <c:v>368</c:v>
                </c:pt>
                <c:pt idx="4">
                  <c:v>412</c:v>
                </c:pt>
                <c:pt idx="5">
                  <c:v>297</c:v>
                </c:pt>
                <c:pt idx="6">
                  <c:v>360</c:v>
                </c:pt>
                <c:pt idx="7">
                  <c:v>228</c:v>
                </c:pt>
                <c:pt idx="8">
                  <c:v>228</c:v>
                </c:pt>
                <c:pt idx="9">
                  <c:v>289</c:v>
                </c:pt>
                <c:pt idx="10">
                  <c:v>291</c:v>
                </c:pt>
                <c:pt idx="11">
                  <c:v>375</c:v>
                </c:pt>
              </c:numCache>
            </c:numRef>
          </c:val>
          <c:extLst>
            <c:ext xmlns:c16="http://schemas.microsoft.com/office/drawing/2014/chart" uri="{C3380CC4-5D6E-409C-BE32-E72D297353CC}">
              <c16:uniqueId val="{00000000-D126-4A2B-9BEE-7E49CEA0DF7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11715584"/>
        <c:axId val="555448752"/>
      </c:areaChart>
      <c:catAx>
        <c:axId val="15117155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55448752"/>
        <c:crosses val="autoZero"/>
        <c:auto val="1"/>
        <c:lblAlgn val="ctr"/>
        <c:lblOffset val="100"/>
        <c:noMultiLvlLbl val="0"/>
      </c:catAx>
      <c:valAx>
        <c:axId val="55544875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715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980455568053994"/>
          <c:y val="0.37655900651307478"/>
          <c:w val="0.43375515560554928"/>
          <c:h val="0.35184942160007776"/>
        </c:manualLayout>
      </c:layout>
      <c:barChart>
        <c:barDir val="bar"/>
        <c:grouping val="percentStacked"/>
        <c:varyColors val="0"/>
        <c:ser>
          <c:idx val="0"/>
          <c:order val="0"/>
          <c:tx>
            <c:strRef>
              <c:f>Sheet2!$B$15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Sheet2!$A$16:$A$20</c:f>
              <c:strCache>
                <c:ptCount val="4"/>
                <c:pt idx="0">
                  <c:v>JoAnne</c:v>
                </c:pt>
                <c:pt idx="1">
                  <c:v>Joyee</c:v>
                </c:pt>
                <c:pt idx="2">
                  <c:v>Rasheed</c:v>
                </c:pt>
                <c:pt idx="3">
                  <c:v>William</c:v>
                </c:pt>
              </c:strCache>
            </c:strRef>
          </c:cat>
          <c:val>
            <c:numRef>
              <c:f>Sheet2!$B$16:$B$20</c:f>
              <c:numCache>
                <c:formatCode>General</c:formatCode>
                <c:ptCount val="4"/>
                <c:pt idx="0">
                  <c:v>5502</c:v>
                </c:pt>
                <c:pt idx="1">
                  <c:v>6418</c:v>
                </c:pt>
                <c:pt idx="2">
                  <c:v>2945</c:v>
                </c:pt>
                <c:pt idx="3">
                  <c:v>5326</c:v>
                </c:pt>
              </c:numCache>
            </c:numRef>
          </c:val>
          <c:extLst>
            <c:ext xmlns:c16="http://schemas.microsoft.com/office/drawing/2014/chart" uri="{C3380CC4-5D6E-409C-BE32-E72D297353CC}">
              <c16:uniqueId val="{00000000-D5CB-457B-B1AD-D77E0AEEEA8E}"/>
            </c:ext>
          </c:extLst>
        </c:ser>
        <c:dLbls>
          <c:showLegendKey val="0"/>
          <c:showVal val="0"/>
          <c:showCatName val="0"/>
          <c:showSerName val="0"/>
          <c:showPercent val="0"/>
          <c:showBubbleSize val="0"/>
        </c:dLbls>
        <c:gapWidth val="150"/>
        <c:overlap val="100"/>
        <c:axId val="1478584272"/>
        <c:axId val="661883088"/>
      </c:barChart>
      <c:catAx>
        <c:axId val="1478584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1883088"/>
        <c:crosses val="autoZero"/>
        <c:auto val="1"/>
        <c:lblAlgn val="ctr"/>
        <c:lblOffset val="100"/>
        <c:noMultiLvlLbl val="0"/>
      </c:catAx>
      <c:valAx>
        <c:axId val="66188308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584272"/>
        <c:crosses val="autoZero"/>
        <c:crossBetween val="between"/>
      </c:valAx>
      <c:spPr>
        <a:noFill/>
        <a:ln>
          <a:noFill/>
        </a:ln>
        <a:effectLst/>
      </c:spPr>
    </c:plotArea>
    <c:legend>
      <c:legendPos val="r"/>
      <c:layout>
        <c:manualLayout>
          <c:xMode val="edge"/>
          <c:yMode val="edge"/>
          <c:x val="0.75"/>
          <c:y val="0.57642473510255665"/>
          <c:w val="0.21428571428571427"/>
          <c:h val="0.219909230096237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14817</xdr:rowOff>
    </xdr:from>
    <xdr:to>
      <xdr:col>15</xdr:col>
      <xdr:colOff>213360</xdr:colOff>
      <xdr:row>29</xdr:row>
      <xdr:rowOff>37677</xdr:rowOff>
    </xdr:to>
    <xdr:sp macro="" textlink="">
      <xdr:nvSpPr>
        <xdr:cNvPr id="10" name="Rectangle: Rounded Corners 9">
          <a:extLst>
            <a:ext uri="{FF2B5EF4-FFF2-40B4-BE49-F238E27FC236}">
              <a16:creationId xmlns:a16="http://schemas.microsoft.com/office/drawing/2014/main" id="{377ACBD1-BB3E-47E5-A9F2-0529EA579941}"/>
            </a:ext>
          </a:extLst>
        </xdr:cNvPr>
        <xdr:cNvSpPr/>
      </xdr:nvSpPr>
      <xdr:spPr>
        <a:xfrm>
          <a:off x="0" y="554567"/>
          <a:ext cx="9420860" cy="4700693"/>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319617</xdr:colOff>
      <xdr:row>7</xdr:row>
      <xdr:rowOff>57150</xdr:rowOff>
    </xdr:from>
    <xdr:to>
      <xdr:col>4</xdr:col>
      <xdr:colOff>317500</xdr:colOff>
      <xdr:row>15</xdr:row>
      <xdr:rowOff>84667</xdr:rowOff>
    </xdr:to>
    <xdr:graphicFrame macro="">
      <xdr:nvGraphicFramePr>
        <xdr:cNvPr id="2" name="Chart 1">
          <a:extLst>
            <a:ext uri="{FF2B5EF4-FFF2-40B4-BE49-F238E27FC236}">
              <a16:creationId xmlns:a16="http://schemas.microsoft.com/office/drawing/2014/main" id="{351BC6B3-E229-4F5A-B6ED-B6A5DFAD4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364490</xdr:colOff>
      <xdr:row>7</xdr:row>
      <xdr:rowOff>143510</xdr:rowOff>
    </xdr:from>
    <xdr:to>
      <xdr:col>9</xdr:col>
      <xdr:colOff>476250</xdr:colOff>
      <xdr:row>16</xdr:row>
      <xdr:rowOff>42333</xdr:rowOff>
    </xdr:to>
    <xdr:graphicFrame macro="">
      <xdr:nvGraphicFramePr>
        <xdr:cNvPr id="3" name="Chart 2">
          <a:extLst>
            <a:ext uri="{FF2B5EF4-FFF2-40B4-BE49-F238E27FC236}">
              <a16:creationId xmlns:a16="http://schemas.microsoft.com/office/drawing/2014/main" id="{32DE49AD-1ED4-4E29-A8D4-97FD5807E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465666</xdr:colOff>
      <xdr:row>16</xdr:row>
      <xdr:rowOff>124461</xdr:rowOff>
    </xdr:from>
    <xdr:to>
      <xdr:col>4</xdr:col>
      <xdr:colOff>529167</xdr:colOff>
      <xdr:row>26</xdr:row>
      <xdr:rowOff>148167</xdr:rowOff>
    </xdr:to>
    <xdr:graphicFrame macro="">
      <xdr:nvGraphicFramePr>
        <xdr:cNvPr id="4" name="Chart 3">
          <a:extLst>
            <a:ext uri="{FF2B5EF4-FFF2-40B4-BE49-F238E27FC236}">
              <a16:creationId xmlns:a16="http://schemas.microsoft.com/office/drawing/2014/main" id="{F4B8A130-1712-46E9-A95B-8DA3BD43A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7621</xdr:colOff>
      <xdr:row>17</xdr:row>
      <xdr:rowOff>11008</xdr:rowOff>
    </xdr:from>
    <xdr:to>
      <xdr:col>9</xdr:col>
      <xdr:colOff>518583</xdr:colOff>
      <xdr:row>26</xdr:row>
      <xdr:rowOff>158750</xdr:rowOff>
    </xdr:to>
    <xdr:graphicFrame macro="">
      <xdr:nvGraphicFramePr>
        <xdr:cNvPr id="5" name="Chart 4">
          <a:extLst>
            <a:ext uri="{FF2B5EF4-FFF2-40B4-BE49-F238E27FC236}">
              <a16:creationId xmlns:a16="http://schemas.microsoft.com/office/drawing/2014/main" id="{4C23D0DE-1B80-4720-BBCD-0F92B9B6D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612141</xdr:colOff>
      <xdr:row>7</xdr:row>
      <xdr:rowOff>20743</xdr:rowOff>
    </xdr:from>
    <xdr:to>
      <xdr:col>14</xdr:col>
      <xdr:colOff>402167</xdr:colOff>
      <xdr:row>13</xdr:row>
      <xdr:rowOff>35983</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1321CD42-7E72-4CD1-8EB7-FBED07D929A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750474" y="1280160"/>
              <a:ext cx="2245360" cy="1094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284056</xdr:colOff>
      <xdr:row>15</xdr:row>
      <xdr:rowOff>139700</xdr:rowOff>
    </xdr:from>
    <xdr:to>
      <xdr:col>13</xdr:col>
      <xdr:colOff>381000</xdr:colOff>
      <xdr:row>22</xdr:row>
      <xdr:rowOff>169333</xdr:rowOff>
    </xdr:to>
    <mc:AlternateContent xmlns:mc="http://schemas.openxmlformats.org/markup-compatibility/2006" xmlns:a14="http://schemas.microsoft.com/office/drawing/2010/main">
      <mc:Choice Requires="a14">
        <xdr:graphicFrame macro="">
          <xdr:nvGraphicFramePr>
            <xdr:cNvPr id="9" name="Manufacturer">
              <a:extLst>
                <a:ext uri="{FF2B5EF4-FFF2-40B4-BE49-F238E27FC236}">
                  <a16:creationId xmlns:a16="http://schemas.microsoft.com/office/drawing/2014/main" id="{6C12A066-8DB0-49B8-9BDD-6FC62B3F4FE7}"/>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7036223" y="2838449"/>
              <a:ext cx="1841500" cy="163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306917</xdr:colOff>
      <xdr:row>3</xdr:row>
      <xdr:rowOff>127001</xdr:rowOff>
    </xdr:from>
    <xdr:to>
      <xdr:col>12</xdr:col>
      <xdr:colOff>603251</xdr:colOff>
      <xdr:row>6</xdr:row>
      <xdr:rowOff>158750</xdr:rowOff>
    </xdr:to>
    <xdr:sp macro="" textlink="">
      <xdr:nvSpPr>
        <xdr:cNvPr id="11" name="Rectangle: Rounded Corners 10">
          <a:extLst>
            <a:ext uri="{FF2B5EF4-FFF2-40B4-BE49-F238E27FC236}">
              <a16:creationId xmlns:a16="http://schemas.microsoft.com/office/drawing/2014/main" id="{A8DEB2AF-100C-456B-972B-518155BE87C8}"/>
            </a:ext>
          </a:extLst>
        </xdr:cNvPr>
        <xdr:cNvSpPr/>
      </xdr:nvSpPr>
      <xdr:spPr>
        <a:xfrm>
          <a:off x="1534584" y="666751"/>
          <a:ext cx="6434667" cy="571499"/>
        </a:xfrm>
        <a:prstGeom prst="roundRect">
          <a:avLst>
            <a:gd name="adj" fmla="val 50000"/>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Sale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ales"/>
      <sheetName val="Product"/>
      <sheetName val="Sales Rep"/>
      <sheetName val="Sales Data"/>
    </sheetNames>
    <sheetDataSet>
      <sheetData sheetId="0" refreshError="1"/>
      <sheetData sheetId="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 refreshedDate="45623.610786226855" createdVersion="6" refreshedVersion="6" minRefreshableVersion="3" recordCount="157" xr:uid="{451C7F9F-7CA9-44C9-9C08-EAC7464A7CEB}">
  <cacheSource type="worksheet">
    <worksheetSource name="Table3"/>
  </cacheSource>
  <cacheFields count="14">
    <cacheField name="Product Key" numFmtId="0">
      <sharedItems count="8">
        <s v="Beer"/>
        <s v="Wine"/>
        <s v="FreshFruits Juice"/>
        <s v="Fizzymix"/>
        <s v="Bottled Water"/>
        <s v="Brandy"/>
        <s v="Orange Juice"/>
        <s v="Milk"/>
      </sharedItems>
    </cacheField>
    <cacheField name="Date" numFmtId="15">
      <sharedItems containsSemiMixedTypes="0" containsNonDate="0" containsDate="1" containsString="0" minDate="2018-01-01T00:00:00" maxDate="2020-12-29T00:00:00" count="157">
        <d v="2018-01-01T00:00:00"/>
        <d v="2018-01-08T00:00:00"/>
        <d v="2018-01-15T00:00:00"/>
        <d v="2018-01-22T00:00:00"/>
        <d v="2018-01-29T00:00:00"/>
        <d v="2018-02-05T00:00:00"/>
        <d v="2018-02-12T00:00:00"/>
        <d v="2018-02-19T00:00:00"/>
        <d v="2018-02-26T00:00:00"/>
        <d v="2018-03-05T00:00:00"/>
        <d v="2018-03-12T00:00:00"/>
        <d v="2018-03-19T00:00:00"/>
        <d v="2018-03-26T00:00:00"/>
        <d v="2018-04-02T00:00:00"/>
        <d v="2018-04-09T00:00:00"/>
        <d v="2018-04-16T00:00:00"/>
        <d v="2018-04-23T00:00:00"/>
        <d v="2018-04-30T00:00:00"/>
        <d v="2018-05-07T00:00:00"/>
        <d v="2018-05-14T00:00:00"/>
        <d v="2018-05-21T00:00:00"/>
        <d v="2018-05-28T00:00:00"/>
        <d v="2018-06-04T00:00:00"/>
        <d v="2018-06-11T00:00:00"/>
        <d v="2018-06-18T00:00:00"/>
        <d v="2018-06-25T00:00:00"/>
        <d v="2018-07-02T00:00:00"/>
        <d v="2018-07-09T00:00:00"/>
        <d v="2018-07-16T00:00:00"/>
        <d v="2018-07-23T00:00:00"/>
        <d v="2018-07-30T00:00:00"/>
        <d v="2018-08-06T00:00:00"/>
        <d v="2018-08-13T00:00:00"/>
        <d v="2018-08-20T00:00:00"/>
        <d v="2018-08-27T00:00:00"/>
        <d v="2018-09-03T00:00:00"/>
        <d v="2018-09-10T00:00:00"/>
        <d v="2018-09-17T00:00:00"/>
        <d v="2018-09-24T00:00:00"/>
        <d v="2018-10-01T00:00:00"/>
        <d v="2018-10-08T00:00:00"/>
        <d v="2018-10-15T00:00:00"/>
        <d v="2018-10-22T00:00:00"/>
        <d v="2018-10-29T00:00:00"/>
        <d v="2018-11-05T00:00:00"/>
        <d v="2018-11-12T00:00:00"/>
        <d v="2018-11-19T00:00:00"/>
        <d v="2018-11-26T00:00:00"/>
        <d v="2018-12-03T00:00:00"/>
        <d v="2018-12-10T00:00:00"/>
        <d v="2018-12-17T00:00:00"/>
        <d v="2018-12-24T00:00:00"/>
        <d v="2018-12-31T00:00:00"/>
        <d v="2019-01-07T00:00:00"/>
        <d v="2019-01-14T00:00:00"/>
        <d v="2019-01-21T00:00:00"/>
        <d v="2019-01-28T00:00:00"/>
        <d v="2019-02-04T00:00:00"/>
        <d v="2019-02-11T00:00:00"/>
        <d v="2019-02-18T00:00:00"/>
        <d v="2019-02-25T00:00:00"/>
        <d v="2019-03-04T00:00:00"/>
        <d v="2019-03-11T00:00:00"/>
        <d v="2019-03-18T00:00:00"/>
        <d v="2019-03-25T00:00:00"/>
        <d v="2019-04-01T00:00:00"/>
        <d v="2019-04-08T00:00:00"/>
        <d v="2019-04-15T00:00:00"/>
        <d v="2019-04-22T00:00:00"/>
        <d v="2019-04-29T00:00:00"/>
        <d v="2019-05-06T00:00:00"/>
        <d v="2019-05-13T00:00:00"/>
        <d v="2019-05-20T00:00:00"/>
        <d v="2019-05-27T00:00:00"/>
        <d v="2019-06-03T00:00:00"/>
        <d v="2019-06-10T00:00:00"/>
        <d v="2019-06-17T00:00:00"/>
        <d v="2019-06-24T00:00:00"/>
        <d v="2019-07-01T00:00:00"/>
        <d v="2019-07-08T00:00:00"/>
        <d v="2019-07-15T00:00:00"/>
        <d v="2019-07-22T00:00:00"/>
        <d v="2019-07-29T00:00:00"/>
        <d v="2019-08-05T00:00:00"/>
        <d v="2019-08-12T00:00:00"/>
        <d v="2019-08-19T00:00:00"/>
        <d v="2019-08-26T00:00:00"/>
        <d v="2019-09-02T00:00:00"/>
        <d v="2019-09-09T00:00:00"/>
        <d v="2019-09-16T00:00:00"/>
        <d v="2019-09-23T00:00:00"/>
        <d v="2019-09-30T00:00:00"/>
        <d v="2019-10-07T00:00:00"/>
        <d v="2019-10-14T00:00:00"/>
        <d v="2019-10-21T00:00:00"/>
        <d v="2019-10-28T00:00:00"/>
        <d v="2019-11-04T00:00:00"/>
        <d v="2019-11-11T00:00:00"/>
        <d v="2019-11-18T00:00:00"/>
        <d v="2019-11-25T00:00:00"/>
        <d v="2019-12-02T00:00:00"/>
        <d v="2019-12-09T00:00:00"/>
        <d v="2019-12-16T00:00:00"/>
        <d v="2019-12-23T00:00:00"/>
        <d v="2019-12-30T00:00:00"/>
        <d v="2020-01-06T00:00:00"/>
        <d v="2020-01-13T00:00:00"/>
        <d v="2020-01-20T00:00:00"/>
        <d v="2020-01-27T00:00:00"/>
        <d v="2020-02-03T00:00:00"/>
        <d v="2020-02-10T00:00:00"/>
        <d v="2020-02-17T00:00:00"/>
        <d v="2020-02-24T00:00:00"/>
        <d v="2020-03-02T00:00:00"/>
        <d v="2020-03-09T00:00:00"/>
        <d v="2020-03-16T00:00:00"/>
        <d v="2020-03-23T00:00:00"/>
        <d v="2020-03-30T00:00:00"/>
        <d v="2020-04-06T00:00:00"/>
        <d v="2020-04-13T00:00:00"/>
        <d v="2020-04-20T00:00:00"/>
        <d v="2020-04-27T00:00:00"/>
        <d v="2020-05-04T00:00:00"/>
        <d v="2020-05-11T00:00:00"/>
        <d v="2020-05-18T00:00:00"/>
        <d v="2020-05-25T00:00:00"/>
        <d v="2020-06-01T00:00:00"/>
        <d v="2020-06-08T00:00:00"/>
        <d v="2020-06-15T00:00:00"/>
        <d v="2020-06-22T00:00:00"/>
        <d v="2020-06-29T00:00:00"/>
        <d v="2020-07-06T00:00:00"/>
        <d v="2020-07-13T00:00:00"/>
        <d v="2020-07-20T00:00:00"/>
        <d v="2020-07-27T00:00:00"/>
        <d v="2020-08-03T00:00:00"/>
        <d v="2020-08-10T00:00:00"/>
        <d v="2020-08-17T00:00:00"/>
        <d v="2020-08-24T00:00:00"/>
        <d v="2020-08-31T00:00:00"/>
        <d v="2020-09-07T00:00:00"/>
        <d v="2020-09-14T00:00:00"/>
        <d v="2020-09-21T00:00:00"/>
        <d v="2020-09-28T00:00:00"/>
        <d v="2020-10-05T00:00:00"/>
        <d v="2020-10-12T00:00:00"/>
        <d v="2020-10-19T00:00:00"/>
        <d v="2020-10-26T00:00:00"/>
        <d v="2020-11-02T00:00:00"/>
        <d v="2020-11-09T00:00:00"/>
        <d v="2020-11-16T00:00:00"/>
        <d v="2020-11-23T00:00:00"/>
        <d v="2020-11-30T00:00:00"/>
        <d v="2020-12-07T00:00:00"/>
        <d v="2020-12-14T00:00:00"/>
        <d v="2020-12-21T00:00:00"/>
        <d v="2020-12-28T00:00:00"/>
      </sharedItems>
      <fieldGroup par="13" base="1">
        <rangePr groupBy="months" startDate="2018-01-01T00:00:00" endDate="2020-12-29T00:00:00"/>
        <groupItems count="14">
          <s v="&lt;01/01/2018"/>
          <s v="Jan"/>
          <s v="Feb"/>
          <s v="Mar"/>
          <s v="Apr"/>
          <s v="May"/>
          <s v="Jun"/>
          <s v="Jul"/>
          <s v="Aug"/>
          <s v="Sep"/>
          <s v="Oct"/>
          <s v="Nov"/>
          <s v="Dec"/>
          <s v="&gt;29/12/2020"/>
        </groupItems>
      </fieldGroup>
    </cacheField>
    <cacheField name="MONTH" numFmtId="0">
      <sharedItems count="1">
        <e v="#REF!"/>
      </sharedItems>
    </cacheField>
    <cacheField name="Sales Qty" numFmtId="0">
      <sharedItems containsSemiMixedTypes="0" containsString="0" containsNumber="1" containsInteger="1" minValue="3" maxValue="48"/>
    </cacheField>
    <cacheField name="Selling Price" numFmtId="0">
      <sharedItems containsSemiMixedTypes="0" containsString="0" containsNumber="1" containsInteger="1" minValue="4" maxValue="9"/>
    </cacheField>
    <cacheField name="Unit Cost" numFmtId="0">
      <sharedItems containsSemiMixedTypes="0" containsString="0" containsNumber="1" containsInteger="1" minValue="2" maxValue="7"/>
    </cacheField>
    <cacheField name="Gross sales" numFmtId="0">
      <sharedItems containsSemiMixedTypes="0" containsString="0" containsNumber="1" containsInteger="1" minValue="6" maxValue="273"/>
    </cacheField>
    <cacheField name="Total sales" numFmtId="0">
      <sharedItems containsSemiMixedTypes="0" containsString="0" containsNumber="1" containsInteger="1" minValue="12" maxValue="396"/>
    </cacheField>
    <cacheField name="Product Name" numFmtId="0">
      <sharedItems count="8">
        <s v="MoreDrinks"/>
        <s v="PartyForEver"/>
        <s v="Sparks"/>
        <s v="CaloRich"/>
        <s v="PureNow"/>
        <s v="FallNow"/>
        <s v="Smiley -Citru"/>
        <s v="Moowies"/>
      </sharedItems>
    </cacheField>
    <cacheField name="Manufacturer" numFmtId="0">
      <sharedItems count="4">
        <s v="Manufacturer A"/>
        <s v="Manufacturer C"/>
        <s v="Manufacturer B"/>
        <s v="Manufacturer D"/>
      </sharedItems>
    </cacheField>
    <cacheField name="Sales Representative" numFmtId="0">
      <sharedItems count="4">
        <s v="Joyee"/>
        <s v="William"/>
        <s v="Rasheed"/>
        <s v="JoAnne"/>
      </sharedItems>
    </cacheField>
    <cacheField name="State" numFmtId="0">
      <sharedItems/>
    </cacheField>
    <cacheField name="Quarters" numFmtId="0" databaseField="0">
      <fieldGroup base="1">
        <rangePr groupBy="quarters" startDate="2018-01-01T00:00:00" endDate="2020-12-29T00:00:00"/>
        <groupItems count="6">
          <s v="&lt;01/01/2018"/>
          <s v="Qtr1"/>
          <s v="Qtr2"/>
          <s v="Qtr3"/>
          <s v="Qtr4"/>
          <s v="&gt;29/12/2020"/>
        </groupItems>
      </fieldGroup>
    </cacheField>
    <cacheField name="Years" numFmtId="0" databaseField="0">
      <fieldGroup base="1">
        <rangePr groupBy="years" startDate="2018-01-01T00:00:00" endDate="2020-12-29T00:00:00"/>
        <groupItems count="5">
          <s v="&lt;01/01/2018"/>
          <s v="2018"/>
          <s v="2019"/>
          <s v="2020"/>
          <s v="&gt;29/12/2020"/>
        </groupItems>
      </fieldGroup>
    </cacheField>
  </cacheFields>
  <extLst>
    <ext xmlns:x14="http://schemas.microsoft.com/office/spreadsheetml/2009/9/main" uri="{725AE2AE-9491-48be-B2B4-4EB974FC3084}">
      <x14:pivotCacheDefinition pivotCacheId="627394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x v="0"/>
    <x v="0"/>
    <n v="5"/>
    <n v="5"/>
    <n v="3"/>
    <n v="15"/>
    <n v="25"/>
    <x v="0"/>
    <x v="0"/>
    <x v="0"/>
    <s v="Texas"/>
  </r>
  <r>
    <x v="1"/>
    <x v="1"/>
    <x v="0"/>
    <n v="7"/>
    <n v="4"/>
    <n v="3"/>
    <n v="21"/>
    <n v="28"/>
    <x v="1"/>
    <x v="0"/>
    <x v="1"/>
    <s v="California"/>
  </r>
  <r>
    <x v="2"/>
    <x v="2"/>
    <x v="0"/>
    <n v="9"/>
    <n v="9"/>
    <n v="6"/>
    <n v="54"/>
    <n v="81"/>
    <x v="2"/>
    <x v="1"/>
    <x v="0"/>
    <s v="Texas"/>
  </r>
  <r>
    <x v="3"/>
    <x v="3"/>
    <x v="0"/>
    <n v="11"/>
    <n v="6"/>
    <n v="3"/>
    <n v="33"/>
    <n v="66"/>
    <x v="3"/>
    <x v="2"/>
    <x v="1"/>
    <s v="California"/>
  </r>
  <r>
    <x v="0"/>
    <x v="4"/>
    <x v="0"/>
    <n v="13"/>
    <n v="5"/>
    <n v="3"/>
    <n v="39"/>
    <n v="65"/>
    <x v="0"/>
    <x v="0"/>
    <x v="0"/>
    <s v="Texas"/>
  </r>
  <r>
    <x v="0"/>
    <x v="5"/>
    <x v="0"/>
    <n v="15"/>
    <n v="5"/>
    <n v="3"/>
    <n v="45"/>
    <n v="75"/>
    <x v="0"/>
    <x v="0"/>
    <x v="0"/>
    <s v="Texas"/>
  </r>
  <r>
    <x v="4"/>
    <x v="6"/>
    <x v="0"/>
    <n v="17"/>
    <n v="5"/>
    <n v="2"/>
    <n v="34"/>
    <n v="85"/>
    <x v="4"/>
    <x v="0"/>
    <x v="2"/>
    <s v="Washington"/>
  </r>
  <r>
    <x v="2"/>
    <x v="7"/>
    <x v="0"/>
    <n v="19"/>
    <n v="9"/>
    <n v="6"/>
    <n v="114"/>
    <n v="171"/>
    <x v="2"/>
    <x v="0"/>
    <x v="0"/>
    <s v="Texas"/>
  </r>
  <r>
    <x v="0"/>
    <x v="8"/>
    <x v="0"/>
    <n v="21"/>
    <n v="5"/>
    <n v="3"/>
    <n v="63"/>
    <n v="105"/>
    <x v="0"/>
    <x v="0"/>
    <x v="0"/>
    <s v="Texas"/>
  </r>
  <r>
    <x v="1"/>
    <x v="9"/>
    <x v="0"/>
    <n v="23"/>
    <n v="4"/>
    <n v="3"/>
    <n v="69"/>
    <n v="92"/>
    <x v="1"/>
    <x v="0"/>
    <x v="1"/>
    <s v="California"/>
  </r>
  <r>
    <x v="5"/>
    <x v="10"/>
    <x v="0"/>
    <n v="25"/>
    <n v="7"/>
    <n v="4"/>
    <n v="100"/>
    <n v="175"/>
    <x v="5"/>
    <x v="0"/>
    <x v="3"/>
    <s v="New Jersey"/>
  </r>
  <r>
    <x v="1"/>
    <x v="11"/>
    <x v="0"/>
    <n v="27"/>
    <n v="4"/>
    <n v="3"/>
    <n v="81"/>
    <n v="108"/>
    <x v="1"/>
    <x v="0"/>
    <x v="1"/>
    <s v="California"/>
  </r>
  <r>
    <x v="6"/>
    <x v="12"/>
    <x v="0"/>
    <n v="29"/>
    <n v="7"/>
    <n v="6"/>
    <n v="174"/>
    <n v="203"/>
    <x v="6"/>
    <x v="1"/>
    <x v="3"/>
    <s v="New Jersey"/>
  </r>
  <r>
    <x v="2"/>
    <x v="13"/>
    <x v="0"/>
    <n v="31"/>
    <n v="9"/>
    <n v="6"/>
    <n v="186"/>
    <n v="279"/>
    <x v="2"/>
    <x v="1"/>
    <x v="0"/>
    <s v="Texas"/>
  </r>
  <r>
    <x v="4"/>
    <x v="14"/>
    <x v="0"/>
    <n v="33"/>
    <n v="5"/>
    <n v="2"/>
    <n v="66"/>
    <n v="165"/>
    <x v="4"/>
    <x v="2"/>
    <x v="2"/>
    <s v="Washington"/>
  </r>
  <r>
    <x v="2"/>
    <x v="15"/>
    <x v="0"/>
    <n v="35"/>
    <n v="9"/>
    <n v="6"/>
    <n v="210"/>
    <n v="315"/>
    <x v="2"/>
    <x v="1"/>
    <x v="0"/>
    <s v="Texas"/>
  </r>
  <r>
    <x v="0"/>
    <x v="16"/>
    <x v="0"/>
    <n v="37"/>
    <n v="5"/>
    <n v="3"/>
    <n v="111"/>
    <n v="185"/>
    <x v="0"/>
    <x v="0"/>
    <x v="0"/>
    <s v="Texas"/>
  </r>
  <r>
    <x v="1"/>
    <x v="17"/>
    <x v="0"/>
    <n v="39"/>
    <n v="4"/>
    <n v="3"/>
    <n v="117"/>
    <n v="156"/>
    <x v="1"/>
    <x v="0"/>
    <x v="1"/>
    <s v="California"/>
  </r>
  <r>
    <x v="3"/>
    <x v="18"/>
    <x v="0"/>
    <n v="41"/>
    <n v="6"/>
    <n v="3"/>
    <n v="123"/>
    <n v="246"/>
    <x v="3"/>
    <x v="1"/>
    <x v="1"/>
    <s v="California"/>
  </r>
  <r>
    <x v="3"/>
    <x v="19"/>
    <x v="0"/>
    <n v="43"/>
    <n v="6"/>
    <n v="3"/>
    <n v="129"/>
    <n v="258"/>
    <x v="3"/>
    <x v="2"/>
    <x v="1"/>
    <s v="California"/>
  </r>
  <r>
    <x v="6"/>
    <x v="20"/>
    <x v="0"/>
    <n v="45"/>
    <n v="7"/>
    <n v="6"/>
    <n v="270"/>
    <n v="315"/>
    <x v="6"/>
    <x v="1"/>
    <x v="3"/>
    <s v="New Jersey"/>
  </r>
  <r>
    <x v="7"/>
    <x v="21"/>
    <x v="0"/>
    <n v="47"/>
    <n v="5"/>
    <n v="4"/>
    <n v="188"/>
    <n v="235"/>
    <x v="7"/>
    <x v="3"/>
    <x v="2"/>
    <s v="Washington"/>
  </r>
  <r>
    <x v="4"/>
    <x v="22"/>
    <x v="0"/>
    <n v="5"/>
    <n v="5"/>
    <n v="2"/>
    <n v="10"/>
    <n v="25"/>
    <x v="4"/>
    <x v="2"/>
    <x v="2"/>
    <s v="Washington"/>
  </r>
  <r>
    <x v="2"/>
    <x v="23"/>
    <x v="0"/>
    <n v="7"/>
    <n v="9"/>
    <n v="6"/>
    <n v="42"/>
    <n v="63"/>
    <x v="2"/>
    <x v="1"/>
    <x v="0"/>
    <s v="Texas"/>
  </r>
  <r>
    <x v="0"/>
    <x v="24"/>
    <x v="0"/>
    <n v="9"/>
    <n v="5"/>
    <n v="3"/>
    <n v="27"/>
    <n v="45"/>
    <x v="0"/>
    <x v="0"/>
    <x v="0"/>
    <s v="Texas"/>
  </r>
  <r>
    <x v="1"/>
    <x v="25"/>
    <x v="0"/>
    <n v="11"/>
    <n v="4"/>
    <n v="3"/>
    <n v="33"/>
    <n v="44"/>
    <x v="1"/>
    <x v="0"/>
    <x v="1"/>
    <s v="California"/>
  </r>
  <r>
    <x v="5"/>
    <x v="26"/>
    <x v="0"/>
    <n v="13"/>
    <n v="7"/>
    <n v="4"/>
    <n v="52"/>
    <n v="91"/>
    <x v="5"/>
    <x v="0"/>
    <x v="3"/>
    <s v="New Jersey"/>
  </r>
  <r>
    <x v="3"/>
    <x v="27"/>
    <x v="0"/>
    <n v="15"/>
    <n v="6"/>
    <n v="3"/>
    <n v="45"/>
    <n v="90"/>
    <x v="3"/>
    <x v="2"/>
    <x v="1"/>
    <s v="California"/>
  </r>
  <r>
    <x v="6"/>
    <x v="28"/>
    <x v="0"/>
    <n v="17"/>
    <n v="7"/>
    <n v="6"/>
    <n v="102"/>
    <n v="119"/>
    <x v="6"/>
    <x v="1"/>
    <x v="3"/>
    <s v="New Jersey"/>
  </r>
  <r>
    <x v="3"/>
    <x v="29"/>
    <x v="0"/>
    <n v="19"/>
    <n v="6"/>
    <n v="3"/>
    <n v="57"/>
    <n v="114"/>
    <x v="3"/>
    <x v="2"/>
    <x v="1"/>
    <s v="California"/>
  </r>
  <r>
    <x v="4"/>
    <x v="30"/>
    <x v="0"/>
    <n v="21"/>
    <n v="5"/>
    <n v="2"/>
    <n v="42"/>
    <n v="105"/>
    <x v="4"/>
    <x v="2"/>
    <x v="2"/>
    <s v="Washington"/>
  </r>
  <r>
    <x v="2"/>
    <x v="31"/>
    <x v="0"/>
    <n v="23"/>
    <n v="9"/>
    <n v="6"/>
    <n v="138"/>
    <n v="207"/>
    <x v="2"/>
    <x v="1"/>
    <x v="0"/>
    <s v="Texas"/>
  </r>
  <r>
    <x v="0"/>
    <x v="32"/>
    <x v="0"/>
    <n v="25"/>
    <n v="5"/>
    <n v="3"/>
    <n v="75"/>
    <n v="125"/>
    <x v="0"/>
    <x v="0"/>
    <x v="0"/>
    <s v="Texas"/>
  </r>
  <r>
    <x v="1"/>
    <x v="33"/>
    <x v="0"/>
    <n v="27"/>
    <n v="4"/>
    <n v="3"/>
    <n v="81"/>
    <n v="108"/>
    <x v="1"/>
    <x v="0"/>
    <x v="1"/>
    <s v="California"/>
  </r>
  <r>
    <x v="2"/>
    <x v="34"/>
    <x v="0"/>
    <n v="29"/>
    <n v="9"/>
    <n v="6"/>
    <n v="174"/>
    <n v="261"/>
    <x v="2"/>
    <x v="0"/>
    <x v="0"/>
    <s v="Texas"/>
  </r>
  <r>
    <x v="3"/>
    <x v="35"/>
    <x v="0"/>
    <n v="31"/>
    <n v="6"/>
    <n v="3"/>
    <n v="93"/>
    <n v="186"/>
    <x v="3"/>
    <x v="2"/>
    <x v="1"/>
    <s v="California"/>
  </r>
  <r>
    <x v="6"/>
    <x v="36"/>
    <x v="0"/>
    <n v="33"/>
    <n v="7"/>
    <n v="6"/>
    <n v="198"/>
    <n v="231"/>
    <x v="6"/>
    <x v="1"/>
    <x v="3"/>
    <s v="New Jersey"/>
  </r>
  <r>
    <x v="7"/>
    <x v="37"/>
    <x v="0"/>
    <n v="35"/>
    <n v="5"/>
    <n v="4"/>
    <n v="140"/>
    <n v="175"/>
    <x v="7"/>
    <x v="3"/>
    <x v="2"/>
    <s v="Washington"/>
  </r>
  <r>
    <x v="3"/>
    <x v="38"/>
    <x v="0"/>
    <n v="37"/>
    <n v="6"/>
    <n v="3"/>
    <n v="111"/>
    <n v="222"/>
    <x v="3"/>
    <x v="2"/>
    <x v="1"/>
    <s v="California"/>
  </r>
  <r>
    <x v="2"/>
    <x v="39"/>
    <x v="0"/>
    <n v="39"/>
    <n v="9"/>
    <n v="6"/>
    <n v="234"/>
    <n v="351"/>
    <x v="2"/>
    <x v="1"/>
    <x v="0"/>
    <s v="Texas"/>
  </r>
  <r>
    <x v="0"/>
    <x v="40"/>
    <x v="0"/>
    <n v="37"/>
    <n v="5"/>
    <n v="3"/>
    <n v="111"/>
    <n v="185"/>
    <x v="0"/>
    <x v="0"/>
    <x v="0"/>
    <s v="Texas"/>
  </r>
  <r>
    <x v="1"/>
    <x v="41"/>
    <x v="0"/>
    <n v="35"/>
    <n v="4"/>
    <n v="3"/>
    <n v="105"/>
    <n v="140"/>
    <x v="1"/>
    <x v="0"/>
    <x v="1"/>
    <s v="California"/>
  </r>
  <r>
    <x v="5"/>
    <x v="42"/>
    <x v="0"/>
    <n v="33"/>
    <n v="7"/>
    <n v="4"/>
    <n v="132"/>
    <n v="231"/>
    <x v="5"/>
    <x v="0"/>
    <x v="3"/>
    <s v="New Jersey"/>
  </r>
  <r>
    <x v="3"/>
    <x v="43"/>
    <x v="0"/>
    <n v="31"/>
    <n v="6"/>
    <n v="3"/>
    <n v="93"/>
    <n v="186"/>
    <x v="3"/>
    <x v="2"/>
    <x v="1"/>
    <s v="California"/>
  </r>
  <r>
    <x v="6"/>
    <x v="44"/>
    <x v="0"/>
    <n v="29"/>
    <n v="7"/>
    <n v="6"/>
    <n v="174"/>
    <n v="203"/>
    <x v="6"/>
    <x v="1"/>
    <x v="3"/>
    <s v="New Jersey"/>
  </r>
  <r>
    <x v="7"/>
    <x v="45"/>
    <x v="0"/>
    <n v="27"/>
    <n v="5"/>
    <n v="4"/>
    <n v="108"/>
    <n v="135"/>
    <x v="7"/>
    <x v="3"/>
    <x v="2"/>
    <s v="Washington"/>
  </r>
  <r>
    <x v="6"/>
    <x v="46"/>
    <x v="0"/>
    <n v="25"/>
    <n v="7"/>
    <n v="6"/>
    <n v="150"/>
    <n v="175"/>
    <x v="6"/>
    <x v="1"/>
    <x v="3"/>
    <s v="New Jersey"/>
  </r>
  <r>
    <x v="2"/>
    <x v="47"/>
    <x v="0"/>
    <n v="23"/>
    <n v="9"/>
    <n v="6"/>
    <n v="138"/>
    <n v="207"/>
    <x v="2"/>
    <x v="1"/>
    <x v="0"/>
    <s v="Texas"/>
  </r>
  <r>
    <x v="0"/>
    <x v="48"/>
    <x v="0"/>
    <n v="21"/>
    <n v="5"/>
    <n v="3"/>
    <n v="63"/>
    <n v="105"/>
    <x v="0"/>
    <x v="0"/>
    <x v="0"/>
    <s v="Texas"/>
  </r>
  <r>
    <x v="1"/>
    <x v="49"/>
    <x v="0"/>
    <n v="19"/>
    <n v="4"/>
    <n v="3"/>
    <n v="57"/>
    <n v="76"/>
    <x v="1"/>
    <x v="1"/>
    <x v="1"/>
    <s v="California"/>
  </r>
  <r>
    <x v="5"/>
    <x v="50"/>
    <x v="0"/>
    <n v="17"/>
    <n v="7"/>
    <n v="4"/>
    <n v="68"/>
    <n v="119"/>
    <x v="5"/>
    <x v="0"/>
    <x v="3"/>
    <s v="New Jersey"/>
  </r>
  <r>
    <x v="3"/>
    <x v="51"/>
    <x v="0"/>
    <n v="15"/>
    <n v="6"/>
    <n v="3"/>
    <n v="45"/>
    <n v="90"/>
    <x v="3"/>
    <x v="2"/>
    <x v="1"/>
    <s v="California"/>
  </r>
  <r>
    <x v="6"/>
    <x v="52"/>
    <x v="0"/>
    <n v="13"/>
    <n v="7"/>
    <n v="6"/>
    <n v="78"/>
    <n v="91"/>
    <x v="6"/>
    <x v="1"/>
    <x v="3"/>
    <s v="New Jersey"/>
  </r>
  <r>
    <x v="6"/>
    <x v="53"/>
    <x v="0"/>
    <n v="11"/>
    <n v="7"/>
    <n v="7"/>
    <n v="77"/>
    <n v="77"/>
    <x v="6"/>
    <x v="1"/>
    <x v="3"/>
    <s v="New Jersey"/>
  </r>
  <r>
    <x v="4"/>
    <x v="54"/>
    <x v="0"/>
    <n v="9"/>
    <n v="5"/>
    <n v="4"/>
    <n v="36"/>
    <n v="45"/>
    <x v="4"/>
    <x v="2"/>
    <x v="2"/>
    <s v="Washington"/>
  </r>
  <r>
    <x v="2"/>
    <x v="55"/>
    <x v="0"/>
    <n v="7"/>
    <n v="9"/>
    <n v="7"/>
    <n v="49"/>
    <n v="63"/>
    <x v="2"/>
    <x v="1"/>
    <x v="0"/>
    <s v="Texas"/>
  </r>
  <r>
    <x v="0"/>
    <x v="56"/>
    <x v="0"/>
    <n v="3"/>
    <n v="5"/>
    <n v="2"/>
    <n v="6"/>
    <n v="15"/>
    <x v="0"/>
    <x v="0"/>
    <x v="0"/>
    <s v="Texas"/>
  </r>
  <r>
    <x v="1"/>
    <x v="57"/>
    <x v="0"/>
    <n v="3"/>
    <n v="4"/>
    <n v="3"/>
    <n v="9"/>
    <n v="12"/>
    <x v="1"/>
    <x v="0"/>
    <x v="1"/>
    <s v="California"/>
  </r>
  <r>
    <x v="1"/>
    <x v="58"/>
    <x v="0"/>
    <n v="3"/>
    <n v="4"/>
    <n v="3"/>
    <n v="9"/>
    <n v="12"/>
    <x v="1"/>
    <x v="0"/>
    <x v="1"/>
    <s v="California"/>
  </r>
  <r>
    <x v="3"/>
    <x v="59"/>
    <x v="0"/>
    <n v="3"/>
    <n v="6"/>
    <n v="5"/>
    <n v="15"/>
    <n v="18"/>
    <x v="3"/>
    <x v="2"/>
    <x v="1"/>
    <s v="California"/>
  </r>
  <r>
    <x v="6"/>
    <x v="60"/>
    <x v="0"/>
    <n v="3"/>
    <n v="7"/>
    <n v="7"/>
    <n v="21"/>
    <n v="21"/>
    <x v="6"/>
    <x v="1"/>
    <x v="3"/>
    <s v="New Jersey"/>
  </r>
  <r>
    <x v="2"/>
    <x v="61"/>
    <x v="0"/>
    <n v="3"/>
    <n v="9"/>
    <n v="7"/>
    <n v="21"/>
    <n v="27"/>
    <x v="2"/>
    <x v="1"/>
    <x v="0"/>
    <s v="Texas"/>
  </r>
  <r>
    <x v="4"/>
    <x v="62"/>
    <x v="0"/>
    <n v="3"/>
    <n v="5"/>
    <n v="4"/>
    <n v="12"/>
    <n v="15"/>
    <x v="4"/>
    <x v="2"/>
    <x v="2"/>
    <s v="Washington"/>
  </r>
  <r>
    <x v="2"/>
    <x v="63"/>
    <x v="0"/>
    <n v="5"/>
    <n v="9"/>
    <n v="7"/>
    <n v="35"/>
    <n v="45"/>
    <x v="2"/>
    <x v="0"/>
    <x v="0"/>
    <s v="Texas"/>
  </r>
  <r>
    <x v="0"/>
    <x v="64"/>
    <x v="0"/>
    <n v="7"/>
    <n v="5"/>
    <n v="2"/>
    <n v="14"/>
    <n v="35"/>
    <x v="0"/>
    <x v="0"/>
    <x v="0"/>
    <s v="Texas"/>
  </r>
  <r>
    <x v="1"/>
    <x v="65"/>
    <x v="0"/>
    <n v="9"/>
    <n v="4"/>
    <n v="3"/>
    <n v="27"/>
    <n v="36"/>
    <x v="1"/>
    <x v="0"/>
    <x v="1"/>
    <s v="California"/>
  </r>
  <r>
    <x v="1"/>
    <x v="66"/>
    <x v="0"/>
    <n v="11"/>
    <n v="4"/>
    <n v="3"/>
    <n v="33"/>
    <n v="44"/>
    <x v="1"/>
    <x v="0"/>
    <x v="1"/>
    <s v="California"/>
  </r>
  <r>
    <x v="3"/>
    <x v="67"/>
    <x v="0"/>
    <n v="13"/>
    <n v="6"/>
    <n v="3"/>
    <n v="39"/>
    <n v="78"/>
    <x v="3"/>
    <x v="2"/>
    <x v="1"/>
    <s v="California"/>
  </r>
  <r>
    <x v="6"/>
    <x v="68"/>
    <x v="0"/>
    <n v="15"/>
    <n v="7"/>
    <n v="7"/>
    <n v="105"/>
    <n v="105"/>
    <x v="6"/>
    <x v="1"/>
    <x v="3"/>
    <s v="New Jersey"/>
  </r>
  <r>
    <x v="7"/>
    <x v="69"/>
    <x v="0"/>
    <n v="17"/>
    <n v="5"/>
    <n v="4"/>
    <n v="68"/>
    <n v="85"/>
    <x v="7"/>
    <x v="3"/>
    <x v="2"/>
    <s v="Washington"/>
  </r>
  <r>
    <x v="4"/>
    <x v="70"/>
    <x v="0"/>
    <n v="19"/>
    <n v="5"/>
    <n v="3"/>
    <n v="57"/>
    <n v="95"/>
    <x v="4"/>
    <x v="2"/>
    <x v="2"/>
    <s v="Washington"/>
  </r>
  <r>
    <x v="1"/>
    <x v="71"/>
    <x v="0"/>
    <n v="21"/>
    <n v="4"/>
    <n v="3"/>
    <n v="63"/>
    <n v="84"/>
    <x v="1"/>
    <x v="0"/>
    <x v="1"/>
    <s v="California"/>
  </r>
  <r>
    <x v="0"/>
    <x v="72"/>
    <x v="0"/>
    <n v="23"/>
    <n v="5"/>
    <n v="3"/>
    <n v="69"/>
    <n v="115"/>
    <x v="0"/>
    <x v="0"/>
    <x v="0"/>
    <s v="Texas"/>
  </r>
  <r>
    <x v="1"/>
    <x v="73"/>
    <x v="0"/>
    <n v="25"/>
    <n v="4"/>
    <n v="3"/>
    <n v="75"/>
    <n v="100"/>
    <x v="1"/>
    <x v="0"/>
    <x v="1"/>
    <s v="California"/>
  </r>
  <r>
    <x v="5"/>
    <x v="74"/>
    <x v="0"/>
    <n v="27"/>
    <n v="7"/>
    <n v="4"/>
    <n v="108"/>
    <n v="189"/>
    <x v="5"/>
    <x v="0"/>
    <x v="3"/>
    <s v="New Jersey"/>
  </r>
  <r>
    <x v="3"/>
    <x v="75"/>
    <x v="0"/>
    <n v="29"/>
    <n v="6"/>
    <n v="5"/>
    <n v="145"/>
    <n v="174"/>
    <x v="3"/>
    <x v="0"/>
    <x v="1"/>
    <s v="California"/>
  </r>
  <r>
    <x v="6"/>
    <x v="76"/>
    <x v="0"/>
    <n v="31"/>
    <n v="7"/>
    <n v="7"/>
    <n v="217"/>
    <n v="217"/>
    <x v="6"/>
    <x v="1"/>
    <x v="3"/>
    <s v="New Jersey"/>
  </r>
  <r>
    <x v="7"/>
    <x v="77"/>
    <x v="0"/>
    <n v="33"/>
    <n v="5"/>
    <n v="4"/>
    <n v="132"/>
    <n v="165"/>
    <x v="7"/>
    <x v="3"/>
    <x v="2"/>
    <s v="Washington"/>
  </r>
  <r>
    <x v="0"/>
    <x v="78"/>
    <x v="0"/>
    <n v="35"/>
    <n v="5"/>
    <n v="2"/>
    <n v="70"/>
    <n v="175"/>
    <x v="0"/>
    <x v="0"/>
    <x v="0"/>
    <s v="Texas"/>
  </r>
  <r>
    <x v="2"/>
    <x v="79"/>
    <x v="0"/>
    <n v="37"/>
    <n v="9"/>
    <n v="7"/>
    <n v="259"/>
    <n v="333"/>
    <x v="2"/>
    <x v="0"/>
    <x v="0"/>
    <s v="Texas"/>
  </r>
  <r>
    <x v="2"/>
    <x v="80"/>
    <x v="0"/>
    <n v="39"/>
    <n v="9"/>
    <n v="7"/>
    <n v="273"/>
    <n v="351"/>
    <x v="2"/>
    <x v="1"/>
    <x v="0"/>
    <s v="Texas"/>
  </r>
  <r>
    <x v="1"/>
    <x v="81"/>
    <x v="0"/>
    <n v="41"/>
    <n v="4"/>
    <n v="3"/>
    <n v="123"/>
    <n v="164"/>
    <x v="1"/>
    <x v="0"/>
    <x v="1"/>
    <s v="California"/>
  </r>
  <r>
    <x v="5"/>
    <x v="82"/>
    <x v="0"/>
    <n v="43"/>
    <n v="7"/>
    <n v="4"/>
    <n v="172"/>
    <n v="301"/>
    <x v="5"/>
    <x v="0"/>
    <x v="3"/>
    <s v="New Jersey"/>
  </r>
  <r>
    <x v="3"/>
    <x v="83"/>
    <x v="0"/>
    <n v="45"/>
    <n v="6"/>
    <n v="3"/>
    <n v="135"/>
    <n v="270"/>
    <x v="3"/>
    <x v="2"/>
    <x v="1"/>
    <s v="California"/>
  </r>
  <r>
    <x v="6"/>
    <x v="84"/>
    <x v="0"/>
    <n v="6"/>
    <n v="7"/>
    <n v="6"/>
    <n v="36"/>
    <n v="42"/>
    <x v="6"/>
    <x v="1"/>
    <x v="3"/>
    <s v="New Jersey"/>
  </r>
  <r>
    <x v="7"/>
    <x v="85"/>
    <x v="0"/>
    <n v="8"/>
    <n v="5"/>
    <n v="4"/>
    <n v="32"/>
    <n v="40"/>
    <x v="7"/>
    <x v="3"/>
    <x v="2"/>
    <s v="Washington"/>
  </r>
  <r>
    <x v="4"/>
    <x v="86"/>
    <x v="0"/>
    <n v="10"/>
    <n v="5"/>
    <n v="4"/>
    <n v="40"/>
    <n v="50"/>
    <x v="4"/>
    <x v="2"/>
    <x v="2"/>
    <s v="Washington"/>
  </r>
  <r>
    <x v="0"/>
    <x v="87"/>
    <x v="0"/>
    <n v="12"/>
    <n v="5"/>
    <n v="2"/>
    <n v="24"/>
    <n v="60"/>
    <x v="0"/>
    <x v="0"/>
    <x v="0"/>
    <s v="Texas"/>
  </r>
  <r>
    <x v="0"/>
    <x v="88"/>
    <x v="0"/>
    <n v="14"/>
    <n v="5"/>
    <n v="2"/>
    <n v="28"/>
    <n v="70"/>
    <x v="0"/>
    <x v="0"/>
    <x v="0"/>
    <s v="Texas"/>
  </r>
  <r>
    <x v="1"/>
    <x v="89"/>
    <x v="0"/>
    <n v="16"/>
    <n v="4"/>
    <n v="3"/>
    <n v="48"/>
    <n v="64"/>
    <x v="1"/>
    <x v="0"/>
    <x v="1"/>
    <s v="California"/>
  </r>
  <r>
    <x v="5"/>
    <x v="90"/>
    <x v="0"/>
    <n v="18"/>
    <n v="7"/>
    <n v="4"/>
    <n v="72"/>
    <n v="126"/>
    <x v="5"/>
    <x v="0"/>
    <x v="3"/>
    <s v="New Jersey"/>
  </r>
  <r>
    <x v="3"/>
    <x v="91"/>
    <x v="0"/>
    <n v="20"/>
    <n v="6"/>
    <n v="3"/>
    <n v="60"/>
    <n v="120"/>
    <x v="3"/>
    <x v="2"/>
    <x v="1"/>
    <s v="California"/>
  </r>
  <r>
    <x v="6"/>
    <x v="92"/>
    <x v="0"/>
    <n v="22"/>
    <n v="7"/>
    <n v="6"/>
    <n v="132"/>
    <n v="154"/>
    <x v="6"/>
    <x v="1"/>
    <x v="3"/>
    <s v="New Jersey"/>
  </r>
  <r>
    <x v="1"/>
    <x v="93"/>
    <x v="0"/>
    <n v="24"/>
    <n v="4"/>
    <n v="3"/>
    <n v="72"/>
    <n v="96"/>
    <x v="1"/>
    <x v="0"/>
    <x v="1"/>
    <s v="California"/>
  </r>
  <r>
    <x v="4"/>
    <x v="94"/>
    <x v="0"/>
    <n v="26"/>
    <n v="5"/>
    <n v="3"/>
    <n v="78"/>
    <n v="130"/>
    <x v="4"/>
    <x v="2"/>
    <x v="2"/>
    <s v="Washington"/>
  </r>
  <r>
    <x v="2"/>
    <x v="95"/>
    <x v="0"/>
    <n v="28"/>
    <n v="9"/>
    <n v="6"/>
    <n v="168"/>
    <n v="252"/>
    <x v="2"/>
    <x v="1"/>
    <x v="0"/>
    <s v="Texas"/>
  </r>
  <r>
    <x v="0"/>
    <x v="96"/>
    <x v="0"/>
    <n v="30"/>
    <n v="5"/>
    <n v="3"/>
    <n v="90"/>
    <n v="150"/>
    <x v="0"/>
    <x v="0"/>
    <x v="0"/>
    <s v="Texas"/>
  </r>
  <r>
    <x v="1"/>
    <x v="97"/>
    <x v="0"/>
    <n v="32"/>
    <n v="4"/>
    <n v="3"/>
    <n v="96"/>
    <n v="128"/>
    <x v="1"/>
    <x v="0"/>
    <x v="1"/>
    <s v="California"/>
  </r>
  <r>
    <x v="5"/>
    <x v="98"/>
    <x v="0"/>
    <n v="34"/>
    <n v="7"/>
    <n v="3"/>
    <n v="102"/>
    <n v="238"/>
    <x v="5"/>
    <x v="0"/>
    <x v="3"/>
    <s v="New Jersey"/>
  </r>
  <r>
    <x v="1"/>
    <x v="99"/>
    <x v="0"/>
    <n v="36"/>
    <n v="4"/>
    <n v="3"/>
    <n v="108"/>
    <n v="144"/>
    <x v="1"/>
    <x v="0"/>
    <x v="1"/>
    <s v="California"/>
  </r>
  <r>
    <x v="6"/>
    <x v="100"/>
    <x v="0"/>
    <n v="38"/>
    <n v="7"/>
    <n v="6"/>
    <n v="228"/>
    <n v="266"/>
    <x v="6"/>
    <x v="1"/>
    <x v="3"/>
    <s v="New Jersey"/>
  </r>
  <r>
    <x v="7"/>
    <x v="101"/>
    <x v="0"/>
    <n v="40"/>
    <n v="5"/>
    <n v="4"/>
    <n v="160"/>
    <n v="200"/>
    <x v="7"/>
    <x v="3"/>
    <x v="2"/>
    <s v="Washington"/>
  </r>
  <r>
    <x v="4"/>
    <x v="102"/>
    <x v="0"/>
    <n v="42"/>
    <n v="5"/>
    <n v="4"/>
    <n v="168"/>
    <n v="210"/>
    <x v="4"/>
    <x v="2"/>
    <x v="2"/>
    <s v="Washington"/>
  </r>
  <r>
    <x v="2"/>
    <x v="103"/>
    <x v="0"/>
    <n v="44"/>
    <n v="9"/>
    <n v="6"/>
    <n v="264"/>
    <n v="396"/>
    <x v="2"/>
    <x v="1"/>
    <x v="0"/>
    <s v="Texas"/>
  </r>
  <r>
    <x v="0"/>
    <x v="104"/>
    <x v="0"/>
    <n v="46"/>
    <n v="5"/>
    <n v="2"/>
    <n v="92"/>
    <n v="230"/>
    <x v="0"/>
    <x v="0"/>
    <x v="0"/>
    <s v="Texas"/>
  </r>
  <r>
    <x v="1"/>
    <x v="105"/>
    <x v="0"/>
    <n v="48"/>
    <n v="4"/>
    <n v="3"/>
    <n v="144"/>
    <n v="192"/>
    <x v="1"/>
    <x v="0"/>
    <x v="1"/>
    <s v="California"/>
  </r>
  <r>
    <x v="5"/>
    <x v="106"/>
    <x v="0"/>
    <n v="5"/>
    <n v="7"/>
    <n v="4"/>
    <n v="20"/>
    <n v="35"/>
    <x v="5"/>
    <x v="0"/>
    <x v="3"/>
    <s v="New Jersey"/>
  </r>
  <r>
    <x v="3"/>
    <x v="107"/>
    <x v="0"/>
    <n v="7"/>
    <n v="6"/>
    <n v="3"/>
    <n v="21"/>
    <n v="42"/>
    <x v="3"/>
    <x v="2"/>
    <x v="1"/>
    <s v="California"/>
  </r>
  <r>
    <x v="6"/>
    <x v="108"/>
    <x v="0"/>
    <n v="9"/>
    <n v="7"/>
    <n v="6"/>
    <n v="54"/>
    <n v="63"/>
    <x v="6"/>
    <x v="1"/>
    <x v="3"/>
    <s v="New Jersey"/>
  </r>
  <r>
    <x v="7"/>
    <x v="109"/>
    <x v="0"/>
    <n v="11"/>
    <n v="5"/>
    <n v="4"/>
    <n v="44"/>
    <n v="55"/>
    <x v="7"/>
    <x v="3"/>
    <x v="2"/>
    <s v="Washington"/>
  </r>
  <r>
    <x v="5"/>
    <x v="110"/>
    <x v="0"/>
    <n v="13"/>
    <n v="7"/>
    <n v="4"/>
    <n v="52"/>
    <n v="91"/>
    <x v="5"/>
    <x v="0"/>
    <x v="3"/>
    <s v="New Jersey"/>
  </r>
  <r>
    <x v="2"/>
    <x v="111"/>
    <x v="0"/>
    <n v="15"/>
    <n v="9"/>
    <n v="6"/>
    <n v="90"/>
    <n v="135"/>
    <x v="2"/>
    <x v="1"/>
    <x v="0"/>
    <s v="Texas"/>
  </r>
  <r>
    <x v="0"/>
    <x v="112"/>
    <x v="0"/>
    <n v="17"/>
    <n v="5"/>
    <n v="3"/>
    <n v="51"/>
    <n v="85"/>
    <x v="0"/>
    <x v="0"/>
    <x v="0"/>
    <s v="Texas"/>
  </r>
  <r>
    <x v="1"/>
    <x v="113"/>
    <x v="0"/>
    <n v="19"/>
    <n v="4"/>
    <n v="3"/>
    <n v="57"/>
    <n v="76"/>
    <x v="1"/>
    <x v="0"/>
    <x v="1"/>
    <s v="California"/>
  </r>
  <r>
    <x v="5"/>
    <x v="114"/>
    <x v="0"/>
    <n v="21"/>
    <n v="7"/>
    <n v="4"/>
    <n v="84"/>
    <n v="147"/>
    <x v="5"/>
    <x v="0"/>
    <x v="3"/>
    <s v="New Jersey"/>
  </r>
  <r>
    <x v="5"/>
    <x v="115"/>
    <x v="0"/>
    <n v="23"/>
    <n v="7"/>
    <n v="4"/>
    <n v="92"/>
    <n v="161"/>
    <x v="5"/>
    <x v="0"/>
    <x v="3"/>
    <s v="New Jersey"/>
  </r>
  <r>
    <x v="6"/>
    <x v="116"/>
    <x v="0"/>
    <n v="25"/>
    <n v="7"/>
    <n v="6"/>
    <n v="150"/>
    <n v="175"/>
    <x v="6"/>
    <x v="1"/>
    <x v="3"/>
    <s v="New Jersey"/>
  </r>
  <r>
    <x v="7"/>
    <x v="117"/>
    <x v="0"/>
    <n v="27"/>
    <n v="5"/>
    <n v="4"/>
    <n v="108"/>
    <n v="135"/>
    <x v="7"/>
    <x v="3"/>
    <x v="2"/>
    <s v="Washington"/>
  </r>
  <r>
    <x v="4"/>
    <x v="118"/>
    <x v="0"/>
    <n v="29"/>
    <n v="5"/>
    <n v="2"/>
    <n v="58"/>
    <n v="145"/>
    <x v="4"/>
    <x v="2"/>
    <x v="2"/>
    <s v="Washington"/>
  </r>
  <r>
    <x v="2"/>
    <x v="119"/>
    <x v="0"/>
    <n v="31"/>
    <n v="9"/>
    <n v="6"/>
    <n v="186"/>
    <n v="279"/>
    <x v="2"/>
    <x v="1"/>
    <x v="0"/>
    <s v="Texas"/>
  </r>
  <r>
    <x v="0"/>
    <x v="120"/>
    <x v="0"/>
    <n v="33"/>
    <n v="5"/>
    <n v="3"/>
    <n v="99"/>
    <n v="165"/>
    <x v="0"/>
    <x v="0"/>
    <x v="0"/>
    <s v="Texas"/>
  </r>
  <r>
    <x v="5"/>
    <x v="121"/>
    <x v="0"/>
    <n v="35"/>
    <n v="7"/>
    <n v="4"/>
    <n v="140"/>
    <n v="245"/>
    <x v="5"/>
    <x v="0"/>
    <x v="3"/>
    <s v="New Jersey"/>
  </r>
  <r>
    <x v="5"/>
    <x v="122"/>
    <x v="0"/>
    <n v="37"/>
    <n v="7"/>
    <n v="4"/>
    <n v="148"/>
    <n v="259"/>
    <x v="5"/>
    <x v="0"/>
    <x v="3"/>
    <s v="New Jersey"/>
  </r>
  <r>
    <x v="3"/>
    <x v="123"/>
    <x v="0"/>
    <n v="39"/>
    <n v="6"/>
    <n v="3"/>
    <n v="117"/>
    <n v="234"/>
    <x v="3"/>
    <x v="2"/>
    <x v="1"/>
    <s v="California"/>
  </r>
  <r>
    <x v="6"/>
    <x v="124"/>
    <x v="0"/>
    <n v="37"/>
    <n v="7"/>
    <n v="6"/>
    <n v="222"/>
    <n v="259"/>
    <x v="6"/>
    <x v="1"/>
    <x v="3"/>
    <s v="New Jersey"/>
  </r>
  <r>
    <x v="7"/>
    <x v="125"/>
    <x v="0"/>
    <n v="35"/>
    <n v="5"/>
    <n v="4"/>
    <n v="140"/>
    <n v="175"/>
    <x v="7"/>
    <x v="3"/>
    <x v="2"/>
    <s v="Washington"/>
  </r>
  <r>
    <x v="4"/>
    <x v="126"/>
    <x v="0"/>
    <n v="33"/>
    <n v="5"/>
    <n v="2"/>
    <n v="66"/>
    <n v="165"/>
    <x v="4"/>
    <x v="2"/>
    <x v="2"/>
    <s v="Washington"/>
  </r>
  <r>
    <x v="3"/>
    <x v="127"/>
    <x v="0"/>
    <n v="31"/>
    <n v="6"/>
    <n v="3"/>
    <n v="93"/>
    <n v="186"/>
    <x v="3"/>
    <x v="2"/>
    <x v="1"/>
    <s v="California"/>
  </r>
  <r>
    <x v="0"/>
    <x v="128"/>
    <x v="0"/>
    <n v="29"/>
    <n v="5"/>
    <n v="3"/>
    <n v="87"/>
    <n v="145"/>
    <x v="0"/>
    <x v="0"/>
    <x v="0"/>
    <s v="Texas"/>
  </r>
  <r>
    <x v="1"/>
    <x v="129"/>
    <x v="0"/>
    <n v="27"/>
    <n v="4"/>
    <n v="3"/>
    <n v="81"/>
    <n v="108"/>
    <x v="1"/>
    <x v="0"/>
    <x v="1"/>
    <s v="California"/>
  </r>
  <r>
    <x v="5"/>
    <x v="130"/>
    <x v="0"/>
    <n v="25"/>
    <n v="7"/>
    <n v="4"/>
    <n v="100"/>
    <n v="175"/>
    <x v="5"/>
    <x v="0"/>
    <x v="3"/>
    <s v="New Jersey"/>
  </r>
  <r>
    <x v="3"/>
    <x v="131"/>
    <x v="0"/>
    <n v="23"/>
    <n v="6"/>
    <n v="3"/>
    <n v="69"/>
    <n v="138"/>
    <x v="3"/>
    <x v="2"/>
    <x v="1"/>
    <s v="California"/>
  </r>
  <r>
    <x v="3"/>
    <x v="132"/>
    <x v="0"/>
    <n v="21"/>
    <n v="6"/>
    <n v="3"/>
    <n v="63"/>
    <n v="126"/>
    <x v="3"/>
    <x v="2"/>
    <x v="1"/>
    <s v="California"/>
  </r>
  <r>
    <x v="7"/>
    <x v="133"/>
    <x v="0"/>
    <n v="19"/>
    <n v="5"/>
    <n v="4"/>
    <n v="76"/>
    <n v="95"/>
    <x v="7"/>
    <x v="3"/>
    <x v="2"/>
    <s v="Washington"/>
  </r>
  <r>
    <x v="4"/>
    <x v="134"/>
    <x v="0"/>
    <n v="17"/>
    <n v="5"/>
    <n v="2"/>
    <n v="34"/>
    <n v="85"/>
    <x v="4"/>
    <x v="2"/>
    <x v="2"/>
    <s v="Washington"/>
  </r>
  <r>
    <x v="2"/>
    <x v="135"/>
    <x v="0"/>
    <n v="15"/>
    <n v="9"/>
    <n v="6"/>
    <n v="90"/>
    <n v="135"/>
    <x v="2"/>
    <x v="1"/>
    <x v="0"/>
    <s v="Texas"/>
  </r>
  <r>
    <x v="0"/>
    <x v="136"/>
    <x v="0"/>
    <n v="13"/>
    <n v="5"/>
    <n v="3"/>
    <n v="39"/>
    <n v="65"/>
    <x v="0"/>
    <x v="0"/>
    <x v="0"/>
    <s v="Texas"/>
  </r>
  <r>
    <x v="1"/>
    <x v="137"/>
    <x v="0"/>
    <n v="11"/>
    <n v="4"/>
    <n v="3"/>
    <n v="33"/>
    <n v="44"/>
    <x v="1"/>
    <x v="0"/>
    <x v="1"/>
    <s v="California"/>
  </r>
  <r>
    <x v="3"/>
    <x v="138"/>
    <x v="0"/>
    <n v="9"/>
    <n v="6"/>
    <n v="3"/>
    <n v="27"/>
    <n v="54"/>
    <x v="3"/>
    <x v="2"/>
    <x v="1"/>
    <s v="California"/>
  </r>
  <r>
    <x v="3"/>
    <x v="139"/>
    <x v="0"/>
    <n v="7"/>
    <n v="6"/>
    <n v="3"/>
    <n v="21"/>
    <n v="42"/>
    <x v="3"/>
    <x v="2"/>
    <x v="1"/>
    <s v="California"/>
  </r>
  <r>
    <x v="6"/>
    <x v="140"/>
    <x v="0"/>
    <n v="3"/>
    <n v="7"/>
    <n v="6"/>
    <n v="18"/>
    <n v="21"/>
    <x v="6"/>
    <x v="1"/>
    <x v="3"/>
    <s v="New Jersey"/>
  </r>
  <r>
    <x v="7"/>
    <x v="141"/>
    <x v="0"/>
    <n v="3"/>
    <n v="5"/>
    <n v="4"/>
    <n v="12"/>
    <n v="15"/>
    <x v="7"/>
    <x v="3"/>
    <x v="2"/>
    <s v="Washington"/>
  </r>
  <r>
    <x v="4"/>
    <x v="142"/>
    <x v="0"/>
    <n v="3"/>
    <n v="5"/>
    <n v="2"/>
    <n v="6"/>
    <n v="15"/>
    <x v="4"/>
    <x v="2"/>
    <x v="2"/>
    <s v="Washington"/>
  </r>
  <r>
    <x v="3"/>
    <x v="143"/>
    <x v="0"/>
    <n v="3"/>
    <n v="6"/>
    <n v="3"/>
    <n v="9"/>
    <n v="18"/>
    <x v="3"/>
    <x v="2"/>
    <x v="1"/>
    <s v="California"/>
  </r>
  <r>
    <x v="0"/>
    <x v="144"/>
    <x v="0"/>
    <n v="3"/>
    <n v="5"/>
    <n v="3"/>
    <n v="9"/>
    <n v="15"/>
    <x v="0"/>
    <x v="0"/>
    <x v="0"/>
    <s v="Texas"/>
  </r>
  <r>
    <x v="1"/>
    <x v="145"/>
    <x v="0"/>
    <n v="3"/>
    <n v="4"/>
    <n v="3"/>
    <n v="9"/>
    <n v="12"/>
    <x v="1"/>
    <x v="0"/>
    <x v="1"/>
    <s v="California"/>
  </r>
  <r>
    <x v="5"/>
    <x v="146"/>
    <x v="0"/>
    <n v="3"/>
    <n v="7"/>
    <n v="4"/>
    <n v="12"/>
    <n v="21"/>
    <x v="5"/>
    <x v="0"/>
    <x v="3"/>
    <s v="New Jersey"/>
  </r>
  <r>
    <x v="3"/>
    <x v="147"/>
    <x v="0"/>
    <n v="5"/>
    <n v="6"/>
    <n v="3"/>
    <n v="15"/>
    <n v="30"/>
    <x v="3"/>
    <x v="2"/>
    <x v="1"/>
    <s v="California"/>
  </r>
  <r>
    <x v="0"/>
    <x v="148"/>
    <x v="0"/>
    <n v="7"/>
    <n v="5"/>
    <n v="3"/>
    <n v="21"/>
    <n v="35"/>
    <x v="0"/>
    <x v="0"/>
    <x v="0"/>
    <s v="Texas"/>
  </r>
  <r>
    <x v="7"/>
    <x v="149"/>
    <x v="0"/>
    <n v="9"/>
    <n v="5"/>
    <n v="4"/>
    <n v="36"/>
    <n v="45"/>
    <x v="7"/>
    <x v="3"/>
    <x v="2"/>
    <s v="Washington"/>
  </r>
  <r>
    <x v="4"/>
    <x v="150"/>
    <x v="0"/>
    <n v="11"/>
    <n v="5"/>
    <n v="2"/>
    <n v="22"/>
    <n v="55"/>
    <x v="4"/>
    <x v="2"/>
    <x v="2"/>
    <s v="Washington"/>
  </r>
  <r>
    <x v="2"/>
    <x v="151"/>
    <x v="0"/>
    <n v="13"/>
    <n v="9"/>
    <n v="6"/>
    <n v="78"/>
    <n v="117"/>
    <x v="2"/>
    <x v="1"/>
    <x v="0"/>
    <s v="Texas"/>
  </r>
  <r>
    <x v="0"/>
    <x v="152"/>
    <x v="0"/>
    <n v="15"/>
    <n v="5"/>
    <n v="3"/>
    <n v="45"/>
    <n v="75"/>
    <x v="0"/>
    <x v="0"/>
    <x v="0"/>
    <s v="Texas"/>
  </r>
  <r>
    <x v="1"/>
    <x v="153"/>
    <x v="0"/>
    <n v="17"/>
    <n v="4"/>
    <n v="3"/>
    <n v="51"/>
    <n v="68"/>
    <x v="1"/>
    <x v="0"/>
    <x v="1"/>
    <s v="California"/>
  </r>
  <r>
    <x v="1"/>
    <x v="154"/>
    <x v="0"/>
    <n v="19"/>
    <n v="4"/>
    <n v="3"/>
    <n v="57"/>
    <n v="76"/>
    <x v="1"/>
    <x v="0"/>
    <x v="1"/>
    <s v="California"/>
  </r>
  <r>
    <x v="3"/>
    <x v="155"/>
    <x v="0"/>
    <n v="21"/>
    <n v="6"/>
    <n v="3"/>
    <n v="63"/>
    <n v="126"/>
    <x v="3"/>
    <x v="2"/>
    <x v="1"/>
    <s v="California"/>
  </r>
  <r>
    <x v="6"/>
    <x v="156"/>
    <x v="0"/>
    <n v="23"/>
    <n v="7"/>
    <n v="6"/>
    <n v="138"/>
    <n v="161"/>
    <x v="6"/>
    <x v="1"/>
    <x v="3"/>
    <s v="New Jers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D25942-A44E-41BA-BB65-D5C2E75E5DA0}" name="PivotTable6"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B12" firstHeaderRow="1" firstDataRow="1" firstDataCol="1"/>
  <pivotFields count="14">
    <pivotField axis="axisRow" showAll="0">
      <items count="9">
        <item x="0"/>
        <item x="4"/>
        <item x="5"/>
        <item x="3"/>
        <item x="2"/>
        <item x="7"/>
        <item x="6"/>
        <item x="1"/>
        <item t="default"/>
      </items>
    </pivotField>
    <pivotField numFmtId="1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items count="9">
        <item x="3"/>
        <item x="5"/>
        <item x="7"/>
        <item x="0"/>
        <item x="1"/>
        <item x="4"/>
        <item x="6"/>
        <item x="2"/>
        <item t="default"/>
      </items>
    </pivotField>
    <pivotField showAll="0">
      <items count="5">
        <item x="0"/>
        <item x="2"/>
        <item x="1"/>
        <item x="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F8FC5-1A70-4C2D-9AFF-483E16CA25CD}" name="PivotTable10"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14:D15" firstHeaderRow="1" firstDataRow="1" firstDataCol="0"/>
  <pivotFields count="14">
    <pivotField showAll="0">
      <items count="9">
        <item x="0"/>
        <item x="4"/>
        <item x="5"/>
        <item x="3"/>
        <item x="2"/>
        <item x="7"/>
        <item x="6"/>
        <item x="1"/>
        <item t="default"/>
      </items>
    </pivotField>
    <pivotField numFmtId="15"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items count="9">
        <item x="3"/>
        <item x="5"/>
        <item x="7"/>
        <item x="0"/>
        <item x="1"/>
        <item x="4"/>
        <item x="6"/>
        <item x="2"/>
        <item t="default"/>
      </items>
    </pivotField>
    <pivotField showAll="0">
      <items count="5">
        <item x="0"/>
        <item x="2"/>
        <item x="1"/>
        <item x="3"/>
        <item t="default"/>
      </items>
    </pivotField>
    <pivotField showAll="0"/>
    <pivotField showAll="0"/>
    <pivotField showAll="0" defaultSubtotal="0"/>
    <pivotField showAll="0" defaultSubtotal="0"/>
  </pivotFields>
  <rowItems count="1">
    <i/>
  </rowItems>
  <colItems count="1">
    <i/>
  </colItems>
  <dataFields count="1">
    <dataField name="Sum of Gross sales"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B88DD-4A87-4909-B549-FDA774968ABF}" name="PivotTable9"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15:B20" firstHeaderRow="1" firstDataRow="1" firstDataCol="1"/>
  <pivotFields count="14">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items count="5">
        <item x="0"/>
        <item x="2"/>
        <item x="1"/>
        <item x="3"/>
        <item t="default"/>
      </items>
    </pivotField>
    <pivotField axis="axisRow" showAll="0">
      <items count="5">
        <item x="3"/>
        <item x="0"/>
        <item x="2"/>
        <item x="1"/>
        <item t="default"/>
      </items>
    </pivotField>
    <pivotField showAll="0"/>
    <pivotField showAll="0" defaultSubtotal="0"/>
    <pivotField showAll="0" defaultSubtotal="0"/>
  </pivotFields>
  <rowFields count="1">
    <field x="10"/>
  </rowFields>
  <rowItems count="5">
    <i>
      <x/>
    </i>
    <i>
      <x v="1"/>
    </i>
    <i>
      <x v="2"/>
    </i>
    <i>
      <x v="3"/>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F2CE3C-76FE-4E42-8D6D-3F0C4421E46C}" name="PivotTable8"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G4:H18" firstHeaderRow="1" firstDataRow="1" firstDataCol="1"/>
  <pivotFields count="14">
    <pivotField showAll="0"/>
    <pivotField axis="axisRow" numFmtId="15" showAll="0">
      <items count="15">
        <item x="0"/>
        <item x="1"/>
        <item x="2"/>
        <item x="3"/>
        <item x="4"/>
        <item x="5"/>
        <item x="6"/>
        <item x="7"/>
        <item x="8"/>
        <item x="9"/>
        <item x="10"/>
        <item x="11"/>
        <item x="12"/>
        <item x="13"/>
        <item t="default"/>
      </items>
    </pivotField>
    <pivotField axis="axisRow" showAll="0">
      <items count="2">
        <item x="0"/>
        <item t="default"/>
      </items>
    </pivotField>
    <pivotField dataField="1" showAll="0"/>
    <pivotField showAll="0"/>
    <pivotField showAll="0"/>
    <pivotField showAll="0"/>
    <pivotField showAll="0"/>
    <pivotField showAll="0"/>
    <pivotField showAll="0">
      <items count="5">
        <item x="0"/>
        <item x="2"/>
        <item x="1"/>
        <item x="3"/>
        <item t="default"/>
      </items>
    </pivotField>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
    <field x="1"/>
  </rowFields>
  <rowItems count="14">
    <i>
      <x/>
    </i>
    <i r="1">
      <x v="1"/>
    </i>
    <i r="1">
      <x v="2"/>
    </i>
    <i r="1">
      <x v="3"/>
    </i>
    <i r="1">
      <x v="4"/>
    </i>
    <i r="1">
      <x v="5"/>
    </i>
    <i r="1">
      <x v="6"/>
    </i>
    <i r="1">
      <x v="7"/>
    </i>
    <i r="1">
      <x v="8"/>
    </i>
    <i r="1">
      <x v="9"/>
    </i>
    <i r="1">
      <x v="10"/>
    </i>
    <i r="1">
      <x v="11"/>
    </i>
    <i r="1">
      <x v="12"/>
    </i>
    <i t="grand">
      <x/>
    </i>
  </rowItems>
  <colItems count="1">
    <i/>
  </colItems>
  <dataFields count="1">
    <dataField name="Sum of Sales Qty"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87145-44DD-4E16-978E-BF5D0016402F}" name="PivotTable7"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3:E8" firstHeaderRow="1" firstDataRow="1" firstDataCol="1"/>
  <pivotFields count="14">
    <pivotField showAll="0"/>
    <pivotField numFmtId="15"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axis="axisRow" showAll="0">
      <items count="5">
        <item x="0"/>
        <item x="2"/>
        <item x="1"/>
        <item x="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Sum of Selling Price" fld="4"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CC24A2-25DC-4AA7-A1BB-9F1297698DAD}"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4:E39" firstHeaderRow="1" firstDataRow="1" firstDataCol="1"/>
  <pivotFields count="14">
    <pivotField showAll="0"/>
    <pivotField axis="axisRow" numFmtId="15" showAll="0">
      <items count="15">
        <item x="0"/>
        <item x="1"/>
        <item x="2"/>
        <item x="3"/>
        <item x="4"/>
        <item x="5"/>
        <item x="6"/>
        <item x="7"/>
        <item x="8"/>
        <item x="9"/>
        <item x="10"/>
        <item x="11"/>
        <item x="12"/>
        <item x="13"/>
        <item t="default"/>
      </items>
    </pivotField>
    <pivotField axis="axisRow" showAll="0">
      <items count="2">
        <item x="0"/>
        <item t="default"/>
      </items>
    </pivotField>
    <pivotField dataField="1"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1"/>
    <field x="2"/>
  </rowFields>
  <rowItems count="25">
    <i>
      <x v="1"/>
    </i>
    <i r="1">
      <x/>
    </i>
    <i>
      <x v="2"/>
    </i>
    <i r="1">
      <x/>
    </i>
    <i>
      <x v="3"/>
    </i>
    <i r="1">
      <x/>
    </i>
    <i>
      <x v="4"/>
    </i>
    <i r="1">
      <x/>
    </i>
    <i>
      <x v="5"/>
    </i>
    <i r="1">
      <x/>
    </i>
    <i>
      <x v="6"/>
    </i>
    <i r="1">
      <x/>
    </i>
    <i>
      <x v="7"/>
    </i>
    <i r="1">
      <x/>
    </i>
    <i>
      <x v="8"/>
    </i>
    <i r="1">
      <x/>
    </i>
    <i>
      <x v="9"/>
    </i>
    <i r="1">
      <x/>
    </i>
    <i>
      <x v="10"/>
    </i>
    <i r="1">
      <x/>
    </i>
    <i>
      <x v="11"/>
    </i>
    <i r="1">
      <x/>
    </i>
    <i>
      <x v="12"/>
    </i>
    <i r="1">
      <x/>
    </i>
    <i t="grand">
      <x/>
    </i>
  </rowItems>
  <colItems count="1">
    <i/>
  </colItems>
  <dataFields count="1">
    <dataField name="Sum of Sales Q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22D54E-F684-4160-A566-4756A3570883}"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1:D12" firstHeaderRow="1" firstDataRow="1" firstDataCol="0"/>
  <pivotFields count="14">
    <pivotField showAll="0"/>
    <pivotField numFmtId="15"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Gross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CFD8CE-CAFA-4B97-9018-9A8815EB28C5}"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E8" firstHeaderRow="1" firstDataRow="1" firstDataCol="1"/>
  <pivotFields count="14">
    <pivotField showAll="0"/>
    <pivotField numFmtId="15" showAll="0"/>
    <pivotField showAll="0"/>
    <pivotField showAll="0"/>
    <pivotField showAll="0"/>
    <pivotField showAll="0"/>
    <pivotField showAll="0"/>
    <pivotField dataField="1" showAll="0"/>
    <pivotField showAll="0"/>
    <pivotField axis="axisRow" showAll="0">
      <items count="5">
        <item x="0"/>
        <item x="2"/>
        <item x="1"/>
        <item x="3"/>
        <item t="default"/>
      </items>
    </pivotField>
    <pivotField showAll="0"/>
    <pivotField showAll="0"/>
    <pivotField showAll="0" defaultSubtotal="0"/>
    <pivotField showAll="0" defaultSubtotal="0"/>
  </pivotFields>
  <rowFields count="1">
    <field x="9"/>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792A02-CEAB-4341-87AA-C196444402C6}"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B19" firstHeaderRow="1" firstDataRow="1" firstDataCol="1"/>
  <pivotFields count="14">
    <pivotField showAll="0"/>
    <pivotField numFmtId="15" showAll="0"/>
    <pivotField showAll="0"/>
    <pivotField showAll="0"/>
    <pivotField showAll="0"/>
    <pivotField showAll="0"/>
    <pivotField showAll="0"/>
    <pivotField dataField="1" showAll="0"/>
    <pivotField showAll="0"/>
    <pivotField showAll="0"/>
    <pivotField axis="axisRow" showAll="0">
      <items count="5">
        <item x="3"/>
        <item x="0"/>
        <item x="2"/>
        <item x="1"/>
        <item t="default"/>
      </items>
    </pivotField>
    <pivotField showAll="0"/>
    <pivotField showAll="0" defaultSubtotal="0"/>
    <pivotField showAll="0" defaultSubtotal="0"/>
  </pivotFields>
  <rowFields count="1">
    <field x="10"/>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24E6B3-D532-4AC7-85C8-932C98659906}"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14">
    <pivotField axis="axisRow" showAll="0">
      <items count="9">
        <item x="0"/>
        <item x="4"/>
        <item x="5"/>
        <item x="3"/>
        <item x="2"/>
        <item x="7"/>
        <item x="6"/>
        <item x="1"/>
        <item t="default"/>
      </items>
    </pivotField>
    <pivotField numFmtId="15"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0"/>
  </rowFields>
  <rowItems count="9">
    <i>
      <x/>
    </i>
    <i>
      <x v="1"/>
    </i>
    <i>
      <x v="2"/>
    </i>
    <i>
      <x v="3"/>
    </i>
    <i>
      <x v="4"/>
    </i>
    <i>
      <x v="5"/>
    </i>
    <i>
      <x v="6"/>
    </i>
    <i>
      <x v="7"/>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47A6BD5A-86F3-41B1-938F-F3537E17CC4C}" sourceName="Manufacturer">
  <pivotTables>
    <pivotTable tabId="2" name="PivotTable7"/>
    <pivotTable tabId="2" name="PivotTable10"/>
    <pivotTable tabId="2" name="PivotTable6"/>
    <pivotTable tabId="2" name="PivotTable8"/>
    <pivotTable tabId="2" name="PivotTable9"/>
  </pivotTables>
  <data>
    <tabular pivotCacheId="627394995">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5BFCC47B-E8D6-4955-AF1C-6872435533A5}" cache="Slicer_Manufacturer" caption="Manufacturer"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3B9013-F468-47FC-87FF-0F34FC91F47C}" name="Table3" displayName="Table3" ref="A1:L158" totalsRowShown="0" headerRowDxfId="14" headerRowBorderDxfId="13" totalsRowBorderDxfId="12">
  <autoFilter ref="A1:L158" xr:uid="{A000D3C5-C288-4167-AC31-B546A64763E5}"/>
  <tableColumns count="12">
    <tableColumn id="1" xr3:uid="{717093E7-A4C2-46D3-948D-99515D9EE454}" name="Product Key" dataDxfId="11"/>
    <tableColumn id="2" xr3:uid="{24CB9F59-B96B-4C10-BCE4-14A57C057664}" name="Date" dataDxfId="10"/>
    <tableColumn id="3" xr3:uid="{5F46CFC6-6293-4A18-A882-8DC46F79FD24}" name="MONTH" dataDxfId="9">
      <calculatedColumnFormula>MONTH([1]!Table1[[#This Row],[Date]])</calculatedColumnFormula>
    </tableColumn>
    <tableColumn id="4" xr3:uid="{BBF8D1A9-A8DB-4A0C-9368-35B8F9F2BAD6}" name="Sales Qty" dataDxfId="8"/>
    <tableColumn id="5" xr3:uid="{06BB6D01-6A68-41D7-90B9-E508DEB8EC8C}" name="Selling Price" dataDxfId="7"/>
    <tableColumn id="6" xr3:uid="{5C9C9BD8-A4AE-43BB-A868-8F212BF7717A}" name="Unit Cost" dataDxfId="6"/>
    <tableColumn id="7" xr3:uid="{3E27DDAF-DD97-470A-B7C4-289C5DA82E77}" name="Gross sales" dataDxfId="5"/>
    <tableColumn id="8" xr3:uid="{8E2B980C-0AF4-4C30-80DA-F1E27720103C}" name="Total sales" dataDxfId="4"/>
    <tableColumn id="9" xr3:uid="{D30CBE55-99BE-4C69-8CFB-267A495392C3}" name="Product Name" dataDxfId="3"/>
    <tableColumn id="10" xr3:uid="{CE84152B-E7F7-4B61-9D80-56DE5DA1F4C4}" name="Manufacturer" dataDxfId="2"/>
    <tableColumn id="11" xr3:uid="{56B54163-84C7-4BCA-ADC7-64A3A75273F5}" name="Sales Representative" dataDxfId="1"/>
    <tableColumn id="12" xr3:uid="{9934BDA1-6A8B-4869-9F40-ECA921CA6A31}" name="State" dataDxfId="0"/>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84B83F9-B1E5-44D9-8D4B-E04BB1F891E4}" sourceName="Date">
  <pivotTables>
    <pivotTable tabId="2" name="PivotTable8"/>
    <pivotTable tabId="2" name="PivotTable10"/>
    <pivotTable tabId="2" name="PivotTable6"/>
    <pivotTable tabId="2" name="PivotTable7"/>
    <pivotTable tabId="2" name="PivotTable9"/>
  </pivotTables>
  <state minimalRefreshVersion="6" lastRefreshVersion="6" pivotCacheId="627394995"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B3273C8-CA00-462E-A133-59E7B477AC4C}" cache="NativeTimeline_Date" caption="Date" level="0" selectionLevel="0" scrollPosition="2018-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96DC-9475-4516-9FC3-A3CEF6E312A8}">
  <dimension ref="A3:H20"/>
  <sheetViews>
    <sheetView workbookViewId="0">
      <selection activeCell="G10" sqref="G10"/>
    </sheetView>
  </sheetViews>
  <sheetFormatPr defaultRowHeight="15" x14ac:dyDescent="0.25"/>
  <cols>
    <col min="1" max="1" width="13.140625" bestFit="1" customWidth="1"/>
    <col min="2" max="2" width="17" bestFit="1" customWidth="1"/>
    <col min="4" max="4" width="14.85546875" bestFit="1" customWidth="1"/>
    <col min="5" max="5" width="18.7109375" bestFit="1" customWidth="1"/>
    <col min="7" max="7" width="13.140625" bestFit="1" customWidth="1"/>
    <col min="8" max="8" width="15.85546875" bestFit="1" customWidth="1"/>
  </cols>
  <sheetData>
    <row r="3" spans="1:8" x14ac:dyDescent="0.25">
      <c r="A3" s="17" t="s">
        <v>41</v>
      </c>
      <c r="B3" t="s">
        <v>40</v>
      </c>
      <c r="D3" s="17" t="s">
        <v>41</v>
      </c>
      <c r="E3" t="s">
        <v>43</v>
      </c>
    </row>
    <row r="4" spans="1:8" x14ac:dyDescent="0.25">
      <c r="A4" s="18" t="s">
        <v>12</v>
      </c>
      <c r="B4" s="16">
        <v>2350</v>
      </c>
      <c r="D4" s="18" t="s">
        <v>14</v>
      </c>
      <c r="E4" s="16">
        <v>379</v>
      </c>
      <c r="G4" s="17" t="s">
        <v>41</v>
      </c>
      <c r="H4" t="s">
        <v>44</v>
      </c>
    </row>
    <row r="5" spans="1:8" x14ac:dyDescent="0.25">
      <c r="A5" s="18" t="s">
        <v>27</v>
      </c>
      <c r="B5" s="16">
        <v>1390</v>
      </c>
      <c r="D5" s="18" t="s">
        <v>26</v>
      </c>
      <c r="E5" s="16">
        <v>202</v>
      </c>
      <c r="G5" s="18" t="s">
        <v>45</v>
      </c>
      <c r="H5" s="16">
        <v>3369</v>
      </c>
    </row>
    <row r="6" spans="1:8" x14ac:dyDescent="0.25">
      <c r="A6" s="18" t="s">
        <v>31</v>
      </c>
      <c r="B6" s="16">
        <v>2604</v>
      </c>
      <c r="D6" s="18" t="s">
        <v>23</v>
      </c>
      <c r="E6" s="16">
        <v>287</v>
      </c>
      <c r="G6" s="19" t="s">
        <v>46</v>
      </c>
      <c r="H6" s="16">
        <v>144</v>
      </c>
    </row>
    <row r="7" spans="1:8" x14ac:dyDescent="0.25">
      <c r="A7" s="18" t="s">
        <v>24</v>
      </c>
      <c r="B7" s="16">
        <v>3114</v>
      </c>
      <c r="D7" s="18" t="s">
        <v>39</v>
      </c>
      <c r="E7" s="16">
        <v>65</v>
      </c>
      <c r="G7" s="19" t="s">
        <v>47</v>
      </c>
      <c r="H7" s="16">
        <v>140</v>
      </c>
    </row>
    <row r="8" spans="1:8" x14ac:dyDescent="0.25">
      <c r="A8" s="18" t="s">
        <v>21</v>
      </c>
      <c r="B8" s="16">
        <v>4068</v>
      </c>
      <c r="D8" s="18" t="s">
        <v>42</v>
      </c>
      <c r="E8" s="16">
        <v>933</v>
      </c>
      <c r="G8" s="19" t="s">
        <v>48</v>
      </c>
      <c r="H8" s="16">
        <v>237</v>
      </c>
    </row>
    <row r="9" spans="1:8" x14ac:dyDescent="0.25">
      <c r="A9" s="18" t="s">
        <v>37</v>
      </c>
      <c r="B9" s="16">
        <v>1555</v>
      </c>
      <c r="G9" s="19" t="s">
        <v>49</v>
      </c>
      <c r="H9" s="16">
        <v>368</v>
      </c>
    </row>
    <row r="10" spans="1:8" x14ac:dyDescent="0.25">
      <c r="A10" s="18" t="s">
        <v>35</v>
      </c>
      <c r="B10" s="16">
        <v>2898</v>
      </c>
      <c r="G10" s="19" t="s">
        <v>56</v>
      </c>
      <c r="H10" s="16">
        <v>412</v>
      </c>
    </row>
    <row r="11" spans="1:8" x14ac:dyDescent="0.25">
      <c r="A11" s="18" t="s">
        <v>17</v>
      </c>
      <c r="B11" s="16">
        <v>2212</v>
      </c>
      <c r="G11" s="19" t="s">
        <v>50</v>
      </c>
      <c r="H11" s="16">
        <v>297</v>
      </c>
    </row>
    <row r="12" spans="1:8" x14ac:dyDescent="0.25">
      <c r="A12" s="18" t="s">
        <v>42</v>
      </c>
      <c r="B12" s="16">
        <v>20191</v>
      </c>
      <c r="G12" s="19" t="s">
        <v>51</v>
      </c>
      <c r="H12" s="16">
        <v>360</v>
      </c>
    </row>
    <row r="13" spans="1:8" x14ac:dyDescent="0.25">
      <c r="G13" s="19" t="s">
        <v>52</v>
      </c>
      <c r="H13" s="16">
        <v>228</v>
      </c>
    </row>
    <row r="14" spans="1:8" x14ac:dyDescent="0.25">
      <c r="D14" t="s">
        <v>55</v>
      </c>
      <c r="G14" s="19" t="s">
        <v>57</v>
      </c>
      <c r="H14" s="16">
        <v>228</v>
      </c>
    </row>
    <row r="15" spans="1:8" x14ac:dyDescent="0.25">
      <c r="A15" s="17" t="s">
        <v>41</v>
      </c>
      <c r="B15" t="s">
        <v>40</v>
      </c>
      <c r="D15" s="16">
        <v>13347</v>
      </c>
      <c r="G15" s="19" t="s">
        <v>53</v>
      </c>
      <c r="H15" s="16">
        <v>289</v>
      </c>
    </row>
    <row r="16" spans="1:8" x14ac:dyDescent="0.25">
      <c r="A16" s="18" t="s">
        <v>33</v>
      </c>
      <c r="B16" s="16">
        <v>5502</v>
      </c>
      <c r="G16" s="19" t="s">
        <v>58</v>
      </c>
      <c r="H16" s="16">
        <v>291</v>
      </c>
    </row>
    <row r="17" spans="1:8" x14ac:dyDescent="0.25">
      <c r="A17" s="18" t="s">
        <v>15</v>
      </c>
      <c r="B17" s="16">
        <v>6418</v>
      </c>
      <c r="G17" s="19" t="s">
        <v>54</v>
      </c>
      <c r="H17" s="16">
        <v>375</v>
      </c>
    </row>
    <row r="18" spans="1:8" x14ac:dyDescent="0.25">
      <c r="A18" s="18" t="s">
        <v>29</v>
      </c>
      <c r="B18" s="16">
        <v>2945</v>
      </c>
      <c r="G18" s="18" t="s">
        <v>42</v>
      </c>
      <c r="H18" s="16">
        <v>3369</v>
      </c>
    </row>
    <row r="19" spans="1:8" x14ac:dyDescent="0.25">
      <c r="A19" s="18" t="s">
        <v>19</v>
      </c>
      <c r="B19" s="16">
        <v>5326</v>
      </c>
    </row>
    <row r="20" spans="1:8" x14ac:dyDescent="0.25">
      <c r="A20" s="18" t="s">
        <v>42</v>
      </c>
      <c r="B20" s="16">
        <v>20191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6706-5D00-4940-8655-DAA9E6A52ECD}">
  <dimension ref="A3:E39"/>
  <sheetViews>
    <sheetView workbookViewId="0">
      <selection activeCell="D14" sqref="D14"/>
    </sheetView>
  </sheetViews>
  <sheetFormatPr defaultRowHeight="15" x14ac:dyDescent="0.25"/>
  <cols>
    <col min="1" max="1" width="13.140625" bestFit="1" customWidth="1"/>
    <col min="2" max="2" width="17" bestFit="1" customWidth="1"/>
    <col min="3" max="3" width="13.7109375" bestFit="1" customWidth="1"/>
    <col min="4" max="4" width="13.140625" bestFit="1" customWidth="1"/>
    <col min="5" max="5" width="15.85546875" bestFit="1" customWidth="1"/>
    <col min="6" max="6" width="18.7109375" bestFit="1" customWidth="1"/>
    <col min="7" max="7" width="5" bestFit="1" customWidth="1"/>
    <col min="8" max="8" width="12.28515625" bestFit="1" customWidth="1"/>
    <col min="9" max="9" width="5.85546875" bestFit="1" customWidth="1"/>
    <col min="10" max="10" width="11.28515625" bestFit="1" customWidth="1"/>
  </cols>
  <sheetData>
    <row r="3" spans="1:5" x14ac:dyDescent="0.25">
      <c r="A3" s="17" t="s">
        <v>41</v>
      </c>
      <c r="B3" t="s">
        <v>40</v>
      </c>
      <c r="D3" s="17" t="s">
        <v>41</v>
      </c>
      <c r="E3" t="s">
        <v>40</v>
      </c>
    </row>
    <row r="4" spans="1:5" x14ac:dyDescent="0.25">
      <c r="A4" s="18" t="s">
        <v>12</v>
      </c>
      <c r="B4" s="16">
        <v>2350</v>
      </c>
      <c r="D4" s="18" t="s">
        <v>14</v>
      </c>
      <c r="E4" s="16">
        <v>8159</v>
      </c>
    </row>
    <row r="5" spans="1:5" x14ac:dyDescent="0.25">
      <c r="A5" s="18" t="s">
        <v>27</v>
      </c>
      <c r="B5" s="16">
        <v>1390</v>
      </c>
      <c r="D5" s="18" t="s">
        <v>26</v>
      </c>
      <c r="E5" s="16">
        <v>3999</v>
      </c>
    </row>
    <row r="6" spans="1:5" x14ac:dyDescent="0.25">
      <c r="A6" s="18" t="s">
        <v>31</v>
      </c>
      <c r="B6" s="16">
        <v>2604</v>
      </c>
      <c r="D6" s="18" t="s">
        <v>23</v>
      </c>
      <c r="E6" s="16">
        <v>6478</v>
      </c>
    </row>
    <row r="7" spans="1:5" x14ac:dyDescent="0.25">
      <c r="A7" s="18" t="s">
        <v>24</v>
      </c>
      <c r="B7" s="16">
        <v>3114</v>
      </c>
      <c r="D7" s="18" t="s">
        <v>39</v>
      </c>
      <c r="E7" s="16">
        <v>1555</v>
      </c>
    </row>
    <row r="8" spans="1:5" x14ac:dyDescent="0.25">
      <c r="A8" s="18" t="s">
        <v>21</v>
      </c>
      <c r="B8" s="16">
        <v>4068</v>
      </c>
      <c r="D8" s="18" t="s">
        <v>42</v>
      </c>
      <c r="E8" s="16">
        <v>20191</v>
      </c>
    </row>
    <row r="9" spans="1:5" x14ac:dyDescent="0.25">
      <c r="A9" s="18" t="s">
        <v>37</v>
      </c>
      <c r="B9" s="16">
        <v>1555</v>
      </c>
    </row>
    <row r="10" spans="1:5" x14ac:dyDescent="0.25">
      <c r="A10" s="18" t="s">
        <v>35</v>
      </c>
      <c r="B10" s="16">
        <v>2898</v>
      </c>
    </row>
    <row r="11" spans="1:5" x14ac:dyDescent="0.25">
      <c r="A11" s="18" t="s">
        <v>17</v>
      </c>
      <c r="B11" s="16">
        <v>2212</v>
      </c>
      <c r="D11" t="s">
        <v>55</v>
      </c>
    </row>
    <row r="12" spans="1:5" x14ac:dyDescent="0.25">
      <c r="A12" s="18" t="s">
        <v>42</v>
      </c>
      <c r="B12" s="16">
        <v>20191</v>
      </c>
      <c r="D12" s="16">
        <v>13347</v>
      </c>
    </row>
    <row r="14" spans="1:5" x14ac:dyDescent="0.25">
      <c r="A14" s="17" t="s">
        <v>41</v>
      </c>
      <c r="B14" t="s">
        <v>40</v>
      </c>
      <c r="D14" s="17" t="s">
        <v>41</v>
      </c>
      <c r="E14" t="s">
        <v>44</v>
      </c>
    </row>
    <row r="15" spans="1:5" x14ac:dyDescent="0.25">
      <c r="A15" s="18" t="s">
        <v>33</v>
      </c>
      <c r="B15" s="16">
        <v>5502</v>
      </c>
      <c r="D15" s="20" t="s">
        <v>46</v>
      </c>
      <c r="E15" s="16">
        <v>144</v>
      </c>
    </row>
    <row r="16" spans="1:5" x14ac:dyDescent="0.25">
      <c r="A16" s="18" t="s">
        <v>15</v>
      </c>
      <c r="B16" s="16">
        <v>6418</v>
      </c>
      <c r="D16" s="21" t="s">
        <v>45</v>
      </c>
      <c r="E16" s="16">
        <v>144</v>
      </c>
    </row>
    <row r="17" spans="1:5" x14ac:dyDescent="0.25">
      <c r="A17" s="18" t="s">
        <v>29</v>
      </c>
      <c r="B17" s="16">
        <v>2945</v>
      </c>
      <c r="D17" s="20" t="s">
        <v>47</v>
      </c>
      <c r="E17" s="16">
        <v>140</v>
      </c>
    </row>
    <row r="18" spans="1:5" x14ac:dyDescent="0.25">
      <c r="A18" s="18" t="s">
        <v>19</v>
      </c>
      <c r="B18" s="16">
        <v>5326</v>
      </c>
      <c r="D18" s="21" t="s">
        <v>45</v>
      </c>
      <c r="E18" s="16">
        <v>140</v>
      </c>
    </row>
    <row r="19" spans="1:5" x14ac:dyDescent="0.25">
      <c r="A19" s="18" t="s">
        <v>42</v>
      </c>
      <c r="B19" s="16">
        <v>20191</v>
      </c>
      <c r="D19" s="20" t="s">
        <v>48</v>
      </c>
      <c r="E19" s="16">
        <v>237</v>
      </c>
    </row>
    <row r="20" spans="1:5" x14ac:dyDescent="0.25">
      <c r="D20" s="21" t="s">
        <v>45</v>
      </c>
      <c r="E20" s="16">
        <v>237</v>
      </c>
    </row>
    <row r="21" spans="1:5" x14ac:dyDescent="0.25">
      <c r="D21" s="20" t="s">
        <v>49</v>
      </c>
      <c r="E21" s="16">
        <v>368</v>
      </c>
    </row>
    <row r="22" spans="1:5" x14ac:dyDescent="0.25">
      <c r="D22" s="21" t="s">
        <v>45</v>
      </c>
      <c r="E22" s="16">
        <v>368</v>
      </c>
    </row>
    <row r="23" spans="1:5" x14ac:dyDescent="0.25">
      <c r="D23" s="20" t="s">
        <v>56</v>
      </c>
      <c r="E23" s="16">
        <v>412</v>
      </c>
    </row>
    <row r="24" spans="1:5" x14ac:dyDescent="0.25">
      <c r="D24" s="21" t="s">
        <v>45</v>
      </c>
      <c r="E24" s="16">
        <v>412</v>
      </c>
    </row>
    <row r="25" spans="1:5" x14ac:dyDescent="0.25">
      <c r="D25" s="20" t="s">
        <v>50</v>
      </c>
      <c r="E25" s="16">
        <v>297</v>
      </c>
    </row>
    <row r="26" spans="1:5" x14ac:dyDescent="0.25">
      <c r="D26" s="21" t="s">
        <v>45</v>
      </c>
      <c r="E26" s="16">
        <v>297</v>
      </c>
    </row>
    <row r="27" spans="1:5" x14ac:dyDescent="0.25">
      <c r="D27" s="20" t="s">
        <v>51</v>
      </c>
      <c r="E27" s="16">
        <v>360</v>
      </c>
    </row>
    <row r="28" spans="1:5" x14ac:dyDescent="0.25">
      <c r="D28" s="21" t="s">
        <v>45</v>
      </c>
      <c r="E28" s="16">
        <v>360</v>
      </c>
    </row>
    <row r="29" spans="1:5" x14ac:dyDescent="0.25">
      <c r="D29" s="20" t="s">
        <v>52</v>
      </c>
      <c r="E29" s="16">
        <v>228</v>
      </c>
    </row>
    <row r="30" spans="1:5" x14ac:dyDescent="0.25">
      <c r="D30" s="21" t="s">
        <v>45</v>
      </c>
      <c r="E30" s="16">
        <v>228</v>
      </c>
    </row>
    <row r="31" spans="1:5" x14ac:dyDescent="0.25">
      <c r="D31" s="20" t="s">
        <v>57</v>
      </c>
      <c r="E31" s="16">
        <v>228</v>
      </c>
    </row>
    <row r="32" spans="1:5" x14ac:dyDescent="0.25">
      <c r="D32" s="21" t="s">
        <v>45</v>
      </c>
      <c r="E32" s="16">
        <v>228</v>
      </c>
    </row>
    <row r="33" spans="4:5" x14ac:dyDescent="0.25">
      <c r="D33" s="20" t="s">
        <v>53</v>
      </c>
      <c r="E33" s="16">
        <v>289</v>
      </c>
    </row>
    <row r="34" spans="4:5" x14ac:dyDescent="0.25">
      <c r="D34" s="21" t="s">
        <v>45</v>
      </c>
      <c r="E34" s="16">
        <v>289</v>
      </c>
    </row>
    <row r="35" spans="4:5" x14ac:dyDescent="0.25">
      <c r="D35" s="20" t="s">
        <v>58</v>
      </c>
      <c r="E35" s="16">
        <v>291</v>
      </c>
    </row>
    <row r="36" spans="4:5" x14ac:dyDescent="0.25">
      <c r="D36" s="21" t="s">
        <v>45</v>
      </c>
      <c r="E36" s="16">
        <v>291</v>
      </c>
    </row>
    <row r="37" spans="4:5" x14ac:dyDescent="0.25">
      <c r="D37" s="20" t="s">
        <v>54</v>
      </c>
      <c r="E37" s="16">
        <v>375</v>
      </c>
    </row>
    <row r="38" spans="4:5" x14ac:dyDescent="0.25">
      <c r="D38" s="21" t="s">
        <v>45</v>
      </c>
      <c r="E38" s="16">
        <v>375</v>
      </c>
    </row>
    <row r="39" spans="4:5" x14ac:dyDescent="0.25">
      <c r="D39" s="20" t="s">
        <v>42</v>
      </c>
      <c r="E39" s="16">
        <v>3369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DCA9-BCC5-4693-9865-29791CEE884C}">
  <dimension ref="A1:L158"/>
  <sheetViews>
    <sheetView tabSelected="1" topLeftCell="A10" workbookViewId="0">
      <selection activeCell="C28" sqref="C28"/>
    </sheetView>
  </sheetViews>
  <sheetFormatPr defaultRowHeight="15" x14ac:dyDescent="0.25"/>
  <cols>
    <col min="2" max="2" width="10.140625" bestFit="1" customWidth="1"/>
    <col min="3" max="3" width="16.28515625" customWidth="1"/>
  </cols>
  <sheetData>
    <row r="1" spans="1:12" x14ac:dyDescent="0.25">
      <c r="A1" s="1" t="s">
        <v>0</v>
      </c>
      <c r="B1" s="2" t="s">
        <v>1</v>
      </c>
      <c r="C1" s="2" t="s">
        <v>2</v>
      </c>
      <c r="D1" s="2" t="s">
        <v>3</v>
      </c>
      <c r="E1" s="2" t="s">
        <v>4</v>
      </c>
      <c r="F1" s="2" t="s">
        <v>5</v>
      </c>
      <c r="G1" s="2" t="s">
        <v>6</v>
      </c>
      <c r="H1" s="3" t="s">
        <v>7</v>
      </c>
      <c r="I1" s="4" t="s">
        <v>8</v>
      </c>
      <c r="J1" s="4" t="s">
        <v>9</v>
      </c>
      <c r="K1" s="4" t="s">
        <v>10</v>
      </c>
      <c r="L1" s="4" t="s">
        <v>11</v>
      </c>
    </row>
    <row r="2" spans="1:12" x14ac:dyDescent="0.25">
      <c r="A2" s="5" t="s">
        <v>12</v>
      </c>
      <c r="B2" s="6">
        <v>43101</v>
      </c>
      <c r="C2" s="7" t="s">
        <v>59</v>
      </c>
      <c r="D2" s="8">
        <v>5</v>
      </c>
      <c r="E2" s="8">
        <v>5</v>
      </c>
      <c r="F2" s="8">
        <v>3</v>
      </c>
      <c r="G2" s="8">
        <v>15</v>
      </c>
      <c r="H2" s="9">
        <v>25</v>
      </c>
      <c r="I2" s="10" t="s">
        <v>13</v>
      </c>
      <c r="J2" s="10" t="s">
        <v>14</v>
      </c>
      <c r="K2" s="10" t="s">
        <v>15</v>
      </c>
      <c r="L2" s="10" t="s">
        <v>16</v>
      </c>
    </row>
    <row r="3" spans="1:12" x14ac:dyDescent="0.25">
      <c r="A3" s="5" t="s">
        <v>17</v>
      </c>
      <c r="B3" s="6">
        <v>43108</v>
      </c>
      <c r="C3" s="7" t="s">
        <v>59</v>
      </c>
      <c r="D3" s="8">
        <v>7</v>
      </c>
      <c r="E3" s="8">
        <v>4</v>
      </c>
      <c r="F3" s="8">
        <v>3</v>
      </c>
      <c r="G3" s="8">
        <v>21</v>
      </c>
      <c r="H3" s="9">
        <v>28</v>
      </c>
      <c r="I3" s="10" t="s">
        <v>18</v>
      </c>
      <c r="J3" s="8" t="s">
        <v>14</v>
      </c>
      <c r="K3" s="8" t="s">
        <v>19</v>
      </c>
      <c r="L3" s="8" t="s">
        <v>20</v>
      </c>
    </row>
    <row r="4" spans="1:12" x14ac:dyDescent="0.25">
      <c r="A4" s="5" t="s">
        <v>21</v>
      </c>
      <c r="B4" s="6">
        <v>43115</v>
      </c>
      <c r="C4" s="7" t="s">
        <v>59</v>
      </c>
      <c r="D4" s="8">
        <v>9</v>
      </c>
      <c r="E4" s="8">
        <v>9</v>
      </c>
      <c r="F4" s="8">
        <v>6</v>
      </c>
      <c r="G4" s="8">
        <v>54</v>
      </c>
      <c r="H4" s="9">
        <v>81</v>
      </c>
      <c r="I4" s="10" t="s">
        <v>22</v>
      </c>
      <c r="J4" s="8" t="s">
        <v>23</v>
      </c>
      <c r="K4" s="8" t="s">
        <v>15</v>
      </c>
      <c r="L4" s="8" t="s">
        <v>16</v>
      </c>
    </row>
    <row r="5" spans="1:12" x14ac:dyDescent="0.25">
      <c r="A5" s="5" t="s">
        <v>24</v>
      </c>
      <c r="B5" s="6">
        <v>43122</v>
      </c>
      <c r="C5" s="7" t="s">
        <v>59</v>
      </c>
      <c r="D5" s="8">
        <v>11</v>
      </c>
      <c r="E5" s="8">
        <v>6</v>
      </c>
      <c r="F5" s="8">
        <v>3</v>
      </c>
      <c r="G5" s="8">
        <v>33</v>
      </c>
      <c r="H5" s="9">
        <v>66</v>
      </c>
      <c r="I5" s="10" t="s">
        <v>25</v>
      </c>
      <c r="J5" s="8" t="s">
        <v>26</v>
      </c>
      <c r="K5" s="8" t="s">
        <v>19</v>
      </c>
      <c r="L5" s="8" t="s">
        <v>20</v>
      </c>
    </row>
    <row r="6" spans="1:12" x14ac:dyDescent="0.25">
      <c r="A6" s="5" t="s">
        <v>12</v>
      </c>
      <c r="B6" s="6">
        <v>43129</v>
      </c>
      <c r="C6" s="7" t="s">
        <v>59</v>
      </c>
      <c r="D6" s="8">
        <v>13</v>
      </c>
      <c r="E6" s="8">
        <v>5</v>
      </c>
      <c r="F6" s="8">
        <v>3</v>
      </c>
      <c r="G6" s="8">
        <v>39</v>
      </c>
      <c r="H6" s="9">
        <v>65</v>
      </c>
      <c r="I6" s="10" t="s">
        <v>13</v>
      </c>
      <c r="J6" s="8" t="s">
        <v>14</v>
      </c>
      <c r="K6" s="8" t="s">
        <v>15</v>
      </c>
      <c r="L6" s="8" t="s">
        <v>16</v>
      </c>
    </row>
    <row r="7" spans="1:12" x14ac:dyDescent="0.25">
      <c r="A7" s="5" t="s">
        <v>12</v>
      </c>
      <c r="B7" s="6">
        <v>43136</v>
      </c>
      <c r="C7" s="7" t="s">
        <v>60</v>
      </c>
      <c r="D7" s="8">
        <v>15</v>
      </c>
      <c r="E7" s="8">
        <v>5</v>
      </c>
      <c r="F7" s="8">
        <v>3</v>
      </c>
      <c r="G7" s="8">
        <v>45</v>
      </c>
      <c r="H7" s="9">
        <v>75</v>
      </c>
      <c r="I7" s="10" t="s">
        <v>13</v>
      </c>
      <c r="J7" s="8" t="s">
        <v>14</v>
      </c>
      <c r="K7" s="8" t="s">
        <v>15</v>
      </c>
      <c r="L7" s="8" t="s">
        <v>16</v>
      </c>
    </row>
    <row r="8" spans="1:12" x14ac:dyDescent="0.25">
      <c r="A8" s="5" t="s">
        <v>27</v>
      </c>
      <c r="B8" s="6">
        <v>43143</v>
      </c>
      <c r="C8" s="7" t="s">
        <v>60</v>
      </c>
      <c r="D8" s="8">
        <v>17</v>
      </c>
      <c r="E8" s="8">
        <v>5</v>
      </c>
      <c r="F8" s="8">
        <v>2</v>
      </c>
      <c r="G8" s="8">
        <v>34</v>
      </c>
      <c r="H8" s="9">
        <v>85</v>
      </c>
      <c r="I8" s="10" t="s">
        <v>28</v>
      </c>
      <c r="J8" s="10" t="s">
        <v>14</v>
      </c>
      <c r="K8" s="8" t="s">
        <v>29</v>
      </c>
      <c r="L8" s="8" t="s">
        <v>30</v>
      </c>
    </row>
    <row r="9" spans="1:12" x14ac:dyDescent="0.25">
      <c r="A9" s="5" t="s">
        <v>21</v>
      </c>
      <c r="B9" s="6">
        <v>43150</v>
      </c>
      <c r="C9" s="7" t="s">
        <v>60</v>
      </c>
      <c r="D9" s="8">
        <v>19</v>
      </c>
      <c r="E9" s="8">
        <v>9</v>
      </c>
      <c r="F9" s="8">
        <v>6</v>
      </c>
      <c r="G9" s="8">
        <v>114</v>
      </c>
      <c r="H9" s="9">
        <v>171</v>
      </c>
      <c r="I9" s="10" t="s">
        <v>22</v>
      </c>
      <c r="J9" s="8" t="s">
        <v>14</v>
      </c>
      <c r="K9" s="8" t="s">
        <v>15</v>
      </c>
      <c r="L9" s="8" t="s">
        <v>16</v>
      </c>
    </row>
    <row r="10" spans="1:12" x14ac:dyDescent="0.25">
      <c r="A10" s="5" t="s">
        <v>12</v>
      </c>
      <c r="B10" s="6">
        <v>43157</v>
      </c>
      <c r="C10" s="7" t="s">
        <v>60</v>
      </c>
      <c r="D10" s="8">
        <v>21</v>
      </c>
      <c r="E10" s="8">
        <v>5</v>
      </c>
      <c r="F10" s="8">
        <v>3</v>
      </c>
      <c r="G10" s="8">
        <v>63</v>
      </c>
      <c r="H10" s="9">
        <v>105</v>
      </c>
      <c r="I10" s="10" t="s">
        <v>13</v>
      </c>
      <c r="J10" s="8" t="s">
        <v>14</v>
      </c>
      <c r="K10" s="8" t="s">
        <v>15</v>
      </c>
      <c r="L10" s="8" t="s">
        <v>16</v>
      </c>
    </row>
    <row r="11" spans="1:12" x14ac:dyDescent="0.25">
      <c r="A11" s="5" t="s">
        <v>17</v>
      </c>
      <c r="B11" s="6">
        <v>43164</v>
      </c>
      <c r="C11" s="7" t="s">
        <v>61</v>
      </c>
      <c r="D11" s="8">
        <v>23</v>
      </c>
      <c r="E11" s="8">
        <v>4</v>
      </c>
      <c r="F11" s="8">
        <v>3</v>
      </c>
      <c r="G11" s="8">
        <v>69</v>
      </c>
      <c r="H11" s="9">
        <v>92</v>
      </c>
      <c r="I11" s="10" t="s">
        <v>18</v>
      </c>
      <c r="J11" s="8" t="s">
        <v>14</v>
      </c>
      <c r="K11" s="8" t="s">
        <v>19</v>
      </c>
      <c r="L11" s="8" t="s">
        <v>20</v>
      </c>
    </row>
    <row r="12" spans="1:12" x14ac:dyDescent="0.25">
      <c r="A12" s="5" t="s">
        <v>31</v>
      </c>
      <c r="B12" s="6">
        <v>43171</v>
      </c>
      <c r="C12" s="7" t="s">
        <v>61</v>
      </c>
      <c r="D12" s="8">
        <v>25</v>
      </c>
      <c r="E12" s="8">
        <v>7</v>
      </c>
      <c r="F12" s="8">
        <v>4</v>
      </c>
      <c r="G12" s="8">
        <v>100</v>
      </c>
      <c r="H12" s="9">
        <v>175</v>
      </c>
      <c r="I12" s="10" t="s">
        <v>32</v>
      </c>
      <c r="J12" s="8" t="s">
        <v>14</v>
      </c>
      <c r="K12" s="8" t="s">
        <v>33</v>
      </c>
      <c r="L12" s="8" t="s">
        <v>34</v>
      </c>
    </row>
    <row r="13" spans="1:12" x14ac:dyDescent="0.25">
      <c r="A13" s="5" t="s">
        <v>17</v>
      </c>
      <c r="B13" s="6">
        <v>43178</v>
      </c>
      <c r="C13" s="7" t="s">
        <v>61</v>
      </c>
      <c r="D13" s="8">
        <v>27</v>
      </c>
      <c r="E13" s="8">
        <v>4</v>
      </c>
      <c r="F13" s="8">
        <v>3</v>
      </c>
      <c r="G13" s="8">
        <v>81</v>
      </c>
      <c r="H13" s="9">
        <v>108</v>
      </c>
      <c r="I13" s="10" t="s">
        <v>18</v>
      </c>
      <c r="J13" s="8" t="s">
        <v>14</v>
      </c>
      <c r="K13" s="8" t="s">
        <v>19</v>
      </c>
      <c r="L13" s="8" t="s">
        <v>20</v>
      </c>
    </row>
    <row r="14" spans="1:12" x14ac:dyDescent="0.25">
      <c r="A14" s="5" t="s">
        <v>35</v>
      </c>
      <c r="B14" s="6">
        <v>43185</v>
      </c>
      <c r="C14" s="7" t="s">
        <v>61</v>
      </c>
      <c r="D14" s="8">
        <v>29</v>
      </c>
      <c r="E14" s="8">
        <v>7</v>
      </c>
      <c r="F14" s="8">
        <v>6</v>
      </c>
      <c r="G14" s="8">
        <v>174</v>
      </c>
      <c r="H14" s="9">
        <v>203</v>
      </c>
      <c r="I14" s="10" t="s">
        <v>36</v>
      </c>
      <c r="J14" s="8" t="s">
        <v>23</v>
      </c>
      <c r="K14" s="8" t="s">
        <v>33</v>
      </c>
      <c r="L14" s="8" t="s">
        <v>34</v>
      </c>
    </row>
    <row r="15" spans="1:12" x14ac:dyDescent="0.25">
      <c r="A15" s="5" t="s">
        <v>21</v>
      </c>
      <c r="B15" s="6">
        <v>43192</v>
      </c>
      <c r="C15" s="7" t="s">
        <v>62</v>
      </c>
      <c r="D15" s="8">
        <v>31</v>
      </c>
      <c r="E15" s="8">
        <v>9</v>
      </c>
      <c r="F15" s="8">
        <v>6</v>
      </c>
      <c r="G15" s="8">
        <v>186</v>
      </c>
      <c r="H15" s="9">
        <v>279</v>
      </c>
      <c r="I15" s="10" t="s">
        <v>22</v>
      </c>
      <c r="J15" s="8" t="s">
        <v>23</v>
      </c>
      <c r="K15" s="8" t="s">
        <v>15</v>
      </c>
      <c r="L15" s="8" t="s">
        <v>16</v>
      </c>
    </row>
    <row r="16" spans="1:12" x14ac:dyDescent="0.25">
      <c r="A16" s="5" t="s">
        <v>27</v>
      </c>
      <c r="B16" s="6">
        <v>43199</v>
      </c>
      <c r="C16" s="7" t="s">
        <v>62</v>
      </c>
      <c r="D16" s="8">
        <v>33</v>
      </c>
      <c r="E16" s="8">
        <v>5</v>
      </c>
      <c r="F16" s="8">
        <v>2</v>
      </c>
      <c r="G16" s="8">
        <v>66</v>
      </c>
      <c r="H16" s="9">
        <v>165</v>
      </c>
      <c r="I16" s="10" t="s">
        <v>28</v>
      </c>
      <c r="J16" s="8" t="s">
        <v>26</v>
      </c>
      <c r="K16" s="8" t="s">
        <v>29</v>
      </c>
      <c r="L16" s="8" t="s">
        <v>30</v>
      </c>
    </row>
    <row r="17" spans="1:12" x14ac:dyDescent="0.25">
      <c r="A17" s="5" t="s">
        <v>21</v>
      </c>
      <c r="B17" s="6">
        <v>43206</v>
      </c>
      <c r="C17" s="7" t="s">
        <v>62</v>
      </c>
      <c r="D17" s="8">
        <v>35</v>
      </c>
      <c r="E17" s="8">
        <v>9</v>
      </c>
      <c r="F17" s="8">
        <v>6</v>
      </c>
      <c r="G17" s="8">
        <v>210</v>
      </c>
      <c r="H17" s="9">
        <v>315</v>
      </c>
      <c r="I17" s="10" t="s">
        <v>22</v>
      </c>
      <c r="J17" s="8" t="s">
        <v>23</v>
      </c>
      <c r="K17" s="8" t="s">
        <v>15</v>
      </c>
      <c r="L17" s="8" t="s">
        <v>16</v>
      </c>
    </row>
    <row r="18" spans="1:12" x14ac:dyDescent="0.25">
      <c r="A18" s="5" t="s">
        <v>12</v>
      </c>
      <c r="B18" s="6">
        <v>43213</v>
      </c>
      <c r="C18" s="7" t="s">
        <v>62</v>
      </c>
      <c r="D18" s="8">
        <v>37</v>
      </c>
      <c r="E18" s="8">
        <v>5</v>
      </c>
      <c r="F18" s="8">
        <v>3</v>
      </c>
      <c r="G18" s="8">
        <v>111</v>
      </c>
      <c r="H18" s="9">
        <v>185</v>
      </c>
      <c r="I18" s="10" t="s">
        <v>13</v>
      </c>
      <c r="J18" s="8" t="s">
        <v>14</v>
      </c>
      <c r="K18" s="8" t="s">
        <v>15</v>
      </c>
      <c r="L18" s="8" t="s">
        <v>16</v>
      </c>
    </row>
    <row r="19" spans="1:12" x14ac:dyDescent="0.25">
      <c r="A19" s="5" t="s">
        <v>17</v>
      </c>
      <c r="B19" s="6">
        <v>43220</v>
      </c>
      <c r="C19" s="7" t="s">
        <v>62</v>
      </c>
      <c r="D19" s="8">
        <v>39</v>
      </c>
      <c r="E19" s="8">
        <v>4</v>
      </c>
      <c r="F19" s="8">
        <v>3</v>
      </c>
      <c r="G19" s="8">
        <v>117</v>
      </c>
      <c r="H19" s="9">
        <v>156</v>
      </c>
      <c r="I19" s="10" t="s">
        <v>18</v>
      </c>
      <c r="J19" s="8" t="s">
        <v>14</v>
      </c>
      <c r="K19" s="8" t="s">
        <v>19</v>
      </c>
      <c r="L19" s="8" t="s">
        <v>20</v>
      </c>
    </row>
    <row r="20" spans="1:12" x14ac:dyDescent="0.25">
      <c r="A20" s="5" t="s">
        <v>24</v>
      </c>
      <c r="B20" s="6">
        <v>43227</v>
      </c>
      <c r="C20" s="7" t="s">
        <v>63</v>
      </c>
      <c r="D20" s="8">
        <v>41</v>
      </c>
      <c r="E20" s="8">
        <v>6</v>
      </c>
      <c r="F20" s="8">
        <v>3</v>
      </c>
      <c r="G20" s="8">
        <v>123</v>
      </c>
      <c r="H20" s="9">
        <v>246</v>
      </c>
      <c r="I20" s="10" t="s">
        <v>25</v>
      </c>
      <c r="J20" s="8" t="s">
        <v>23</v>
      </c>
      <c r="K20" s="8" t="s">
        <v>19</v>
      </c>
      <c r="L20" s="8" t="s">
        <v>20</v>
      </c>
    </row>
    <row r="21" spans="1:12" x14ac:dyDescent="0.25">
      <c r="A21" s="5" t="s">
        <v>24</v>
      </c>
      <c r="B21" s="6">
        <v>43234</v>
      </c>
      <c r="C21" s="7" t="s">
        <v>63</v>
      </c>
      <c r="D21" s="8">
        <v>43</v>
      </c>
      <c r="E21" s="8">
        <v>6</v>
      </c>
      <c r="F21" s="8">
        <v>3</v>
      </c>
      <c r="G21" s="8">
        <v>129</v>
      </c>
      <c r="H21" s="9">
        <v>258</v>
      </c>
      <c r="I21" s="10" t="s">
        <v>25</v>
      </c>
      <c r="J21" s="8" t="s">
        <v>26</v>
      </c>
      <c r="K21" s="8" t="s">
        <v>19</v>
      </c>
      <c r="L21" s="8" t="s">
        <v>20</v>
      </c>
    </row>
    <row r="22" spans="1:12" x14ac:dyDescent="0.25">
      <c r="A22" s="5" t="s">
        <v>35</v>
      </c>
      <c r="B22" s="6">
        <v>43241</v>
      </c>
      <c r="C22" s="7" t="s">
        <v>63</v>
      </c>
      <c r="D22" s="8">
        <v>45</v>
      </c>
      <c r="E22" s="8">
        <v>7</v>
      </c>
      <c r="F22" s="8">
        <v>6</v>
      </c>
      <c r="G22" s="8">
        <v>270</v>
      </c>
      <c r="H22" s="9">
        <v>315</v>
      </c>
      <c r="I22" s="10" t="s">
        <v>36</v>
      </c>
      <c r="J22" s="8" t="s">
        <v>23</v>
      </c>
      <c r="K22" s="8" t="s">
        <v>33</v>
      </c>
      <c r="L22" s="8" t="s">
        <v>34</v>
      </c>
    </row>
    <row r="23" spans="1:12" x14ac:dyDescent="0.25">
      <c r="A23" s="5" t="s">
        <v>37</v>
      </c>
      <c r="B23" s="6">
        <v>43248</v>
      </c>
      <c r="C23" s="7" t="s">
        <v>63</v>
      </c>
      <c r="D23" s="8">
        <v>47</v>
      </c>
      <c r="E23" s="8">
        <v>5</v>
      </c>
      <c r="F23" s="8">
        <v>4</v>
      </c>
      <c r="G23" s="8">
        <v>188</v>
      </c>
      <c r="H23" s="9">
        <v>235</v>
      </c>
      <c r="I23" s="10" t="s">
        <v>38</v>
      </c>
      <c r="J23" s="8" t="s">
        <v>39</v>
      </c>
      <c r="K23" s="8" t="s">
        <v>29</v>
      </c>
      <c r="L23" s="8" t="s">
        <v>30</v>
      </c>
    </row>
    <row r="24" spans="1:12" x14ac:dyDescent="0.25">
      <c r="A24" s="5" t="s">
        <v>27</v>
      </c>
      <c r="B24" s="6">
        <v>43255</v>
      </c>
      <c r="C24" s="7" t="s">
        <v>64</v>
      </c>
      <c r="D24" s="8">
        <v>5</v>
      </c>
      <c r="E24" s="8">
        <v>5</v>
      </c>
      <c r="F24" s="8">
        <v>2</v>
      </c>
      <c r="G24" s="8">
        <v>10</v>
      </c>
      <c r="H24" s="9">
        <v>25</v>
      </c>
      <c r="I24" s="10" t="s">
        <v>28</v>
      </c>
      <c r="J24" s="8" t="s">
        <v>26</v>
      </c>
      <c r="K24" s="8" t="s">
        <v>29</v>
      </c>
      <c r="L24" s="8" t="s">
        <v>30</v>
      </c>
    </row>
    <row r="25" spans="1:12" x14ac:dyDescent="0.25">
      <c r="A25" s="5" t="s">
        <v>21</v>
      </c>
      <c r="B25" s="6">
        <v>43262</v>
      </c>
      <c r="C25" s="7" t="s">
        <v>64</v>
      </c>
      <c r="D25" s="8">
        <v>7</v>
      </c>
      <c r="E25" s="8">
        <v>9</v>
      </c>
      <c r="F25" s="8">
        <v>6</v>
      </c>
      <c r="G25" s="8">
        <v>42</v>
      </c>
      <c r="H25" s="9">
        <v>63</v>
      </c>
      <c r="I25" s="10" t="s">
        <v>22</v>
      </c>
      <c r="J25" s="8" t="s">
        <v>23</v>
      </c>
      <c r="K25" s="8" t="s">
        <v>15</v>
      </c>
      <c r="L25" s="8" t="s">
        <v>16</v>
      </c>
    </row>
    <row r="26" spans="1:12" x14ac:dyDescent="0.25">
      <c r="A26" s="5" t="s">
        <v>12</v>
      </c>
      <c r="B26" s="6">
        <v>43269</v>
      </c>
      <c r="C26" s="7" t="s">
        <v>64</v>
      </c>
      <c r="D26" s="8">
        <v>9</v>
      </c>
      <c r="E26" s="8">
        <v>5</v>
      </c>
      <c r="F26" s="8">
        <v>3</v>
      </c>
      <c r="G26" s="8">
        <v>27</v>
      </c>
      <c r="H26" s="9">
        <v>45</v>
      </c>
      <c r="I26" s="10" t="s">
        <v>13</v>
      </c>
      <c r="J26" s="8" t="s">
        <v>14</v>
      </c>
      <c r="K26" s="8" t="s">
        <v>15</v>
      </c>
      <c r="L26" s="8" t="s">
        <v>16</v>
      </c>
    </row>
    <row r="27" spans="1:12" x14ac:dyDescent="0.25">
      <c r="A27" s="5" t="s">
        <v>17</v>
      </c>
      <c r="B27" s="6">
        <v>43276</v>
      </c>
      <c r="C27" s="7" t="s">
        <v>64</v>
      </c>
      <c r="D27" s="8">
        <v>11</v>
      </c>
      <c r="E27" s="8">
        <v>4</v>
      </c>
      <c r="F27" s="8">
        <v>3</v>
      </c>
      <c r="G27" s="8">
        <v>33</v>
      </c>
      <c r="H27" s="9">
        <v>44</v>
      </c>
      <c r="I27" s="10" t="s">
        <v>18</v>
      </c>
      <c r="J27" s="8" t="s">
        <v>14</v>
      </c>
      <c r="K27" s="8" t="s">
        <v>19</v>
      </c>
      <c r="L27" s="8" t="s">
        <v>20</v>
      </c>
    </row>
    <row r="28" spans="1:12" x14ac:dyDescent="0.25">
      <c r="A28" s="5" t="s">
        <v>31</v>
      </c>
      <c r="B28" s="6">
        <v>43283</v>
      </c>
      <c r="C28" s="7" t="e">
        <f>MONTH([1]!Table1[[#This Row],[Date]])</f>
        <v>#REF!</v>
      </c>
      <c r="D28" s="8">
        <v>13</v>
      </c>
      <c r="E28" s="8">
        <v>7</v>
      </c>
      <c r="F28" s="8">
        <v>4</v>
      </c>
      <c r="G28" s="8">
        <v>52</v>
      </c>
      <c r="H28" s="9">
        <v>91</v>
      </c>
      <c r="I28" s="10" t="s">
        <v>32</v>
      </c>
      <c r="J28" s="8" t="s">
        <v>14</v>
      </c>
      <c r="K28" s="8" t="s">
        <v>33</v>
      </c>
      <c r="L28" s="8" t="s">
        <v>34</v>
      </c>
    </row>
    <row r="29" spans="1:12" x14ac:dyDescent="0.25">
      <c r="A29" s="5" t="s">
        <v>24</v>
      </c>
      <c r="B29" s="6">
        <v>43290</v>
      </c>
      <c r="C29" s="7" t="e">
        <f>MONTH([1]!Table1[[#This Row],[Date]])</f>
        <v>#REF!</v>
      </c>
      <c r="D29" s="8">
        <v>15</v>
      </c>
      <c r="E29" s="8">
        <v>6</v>
      </c>
      <c r="F29" s="8">
        <v>3</v>
      </c>
      <c r="G29" s="8">
        <v>45</v>
      </c>
      <c r="H29" s="9">
        <v>90</v>
      </c>
      <c r="I29" s="10" t="s">
        <v>25</v>
      </c>
      <c r="J29" s="8" t="s">
        <v>26</v>
      </c>
      <c r="K29" s="8" t="s">
        <v>19</v>
      </c>
      <c r="L29" s="8" t="s">
        <v>20</v>
      </c>
    </row>
    <row r="30" spans="1:12" x14ac:dyDescent="0.25">
      <c r="A30" s="5" t="s">
        <v>35</v>
      </c>
      <c r="B30" s="6">
        <v>43297</v>
      </c>
      <c r="C30" s="7" t="e">
        <f>MONTH([1]!Table1[[#This Row],[Date]])</f>
        <v>#REF!</v>
      </c>
      <c r="D30" s="8">
        <v>17</v>
      </c>
      <c r="E30" s="8">
        <v>7</v>
      </c>
      <c r="F30" s="8">
        <v>6</v>
      </c>
      <c r="G30" s="8">
        <v>102</v>
      </c>
      <c r="H30" s="9">
        <v>119</v>
      </c>
      <c r="I30" s="10" t="s">
        <v>36</v>
      </c>
      <c r="J30" s="8" t="s">
        <v>23</v>
      </c>
      <c r="K30" s="8" t="s">
        <v>33</v>
      </c>
      <c r="L30" s="8" t="s">
        <v>34</v>
      </c>
    </row>
    <row r="31" spans="1:12" x14ac:dyDescent="0.25">
      <c r="A31" s="5" t="s">
        <v>24</v>
      </c>
      <c r="B31" s="6">
        <v>43304</v>
      </c>
      <c r="C31" s="7" t="e">
        <f>MONTH([1]!Table1[[#This Row],[Date]])</f>
        <v>#REF!</v>
      </c>
      <c r="D31" s="8">
        <v>19</v>
      </c>
      <c r="E31" s="8">
        <v>6</v>
      </c>
      <c r="F31" s="8">
        <v>3</v>
      </c>
      <c r="G31" s="8">
        <v>57</v>
      </c>
      <c r="H31" s="9">
        <v>114</v>
      </c>
      <c r="I31" s="10" t="s">
        <v>25</v>
      </c>
      <c r="J31" s="8" t="s">
        <v>26</v>
      </c>
      <c r="K31" s="8" t="s">
        <v>19</v>
      </c>
      <c r="L31" s="8" t="s">
        <v>20</v>
      </c>
    </row>
    <row r="32" spans="1:12" x14ac:dyDescent="0.25">
      <c r="A32" s="5" t="s">
        <v>27</v>
      </c>
      <c r="B32" s="6">
        <v>43311</v>
      </c>
      <c r="C32" s="7" t="e">
        <f>MONTH([1]!Table1[[#This Row],[Date]])</f>
        <v>#REF!</v>
      </c>
      <c r="D32" s="8">
        <v>21</v>
      </c>
      <c r="E32" s="8">
        <v>5</v>
      </c>
      <c r="F32" s="8">
        <v>2</v>
      </c>
      <c r="G32" s="8">
        <v>42</v>
      </c>
      <c r="H32" s="9">
        <v>105</v>
      </c>
      <c r="I32" s="10" t="s">
        <v>28</v>
      </c>
      <c r="J32" s="8" t="s">
        <v>26</v>
      </c>
      <c r="K32" s="8" t="s">
        <v>29</v>
      </c>
      <c r="L32" s="8" t="s">
        <v>30</v>
      </c>
    </row>
    <row r="33" spans="1:12" x14ac:dyDescent="0.25">
      <c r="A33" s="5" t="s">
        <v>21</v>
      </c>
      <c r="B33" s="6">
        <v>43318</v>
      </c>
      <c r="C33" s="7" t="e">
        <f>MONTH([1]!Table1[[#This Row],[Date]])</f>
        <v>#REF!</v>
      </c>
      <c r="D33" s="8">
        <v>23</v>
      </c>
      <c r="E33" s="8">
        <v>9</v>
      </c>
      <c r="F33" s="8">
        <v>6</v>
      </c>
      <c r="G33" s="8">
        <v>138</v>
      </c>
      <c r="H33" s="9">
        <v>207</v>
      </c>
      <c r="I33" s="10" t="s">
        <v>22</v>
      </c>
      <c r="J33" s="8" t="s">
        <v>23</v>
      </c>
      <c r="K33" s="8" t="s">
        <v>15</v>
      </c>
      <c r="L33" s="8" t="s">
        <v>16</v>
      </c>
    </row>
    <row r="34" spans="1:12" x14ac:dyDescent="0.25">
      <c r="A34" s="5" t="s">
        <v>12</v>
      </c>
      <c r="B34" s="6">
        <v>43325</v>
      </c>
      <c r="C34" s="7" t="e">
        <f>MONTH([1]!Table1[[#This Row],[Date]])</f>
        <v>#REF!</v>
      </c>
      <c r="D34" s="8">
        <v>25</v>
      </c>
      <c r="E34" s="8">
        <v>5</v>
      </c>
      <c r="F34" s="8">
        <v>3</v>
      </c>
      <c r="G34" s="8">
        <v>75</v>
      </c>
      <c r="H34" s="9">
        <v>125</v>
      </c>
      <c r="I34" s="10" t="s">
        <v>13</v>
      </c>
      <c r="J34" s="8" t="s">
        <v>14</v>
      </c>
      <c r="K34" s="8" t="s">
        <v>15</v>
      </c>
      <c r="L34" s="8" t="s">
        <v>16</v>
      </c>
    </row>
    <row r="35" spans="1:12" x14ac:dyDescent="0.25">
      <c r="A35" s="5" t="s">
        <v>17</v>
      </c>
      <c r="B35" s="6">
        <v>43332</v>
      </c>
      <c r="C35" s="7" t="e">
        <f>MONTH([1]!Table1[[#This Row],[Date]])</f>
        <v>#REF!</v>
      </c>
      <c r="D35" s="8">
        <v>27</v>
      </c>
      <c r="E35" s="8">
        <v>4</v>
      </c>
      <c r="F35" s="8">
        <v>3</v>
      </c>
      <c r="G35" s="8">
        <v>81</v>
      </c>
      <c r="H35" s="9">
        <v>108</v>
      </c>
      <c r="I35" s="10" t="s">
        <v>18</v>
      </c>
      <c r="J35" s="8" t="s">
        <v>14</v>
      </c>
      <c r="K35" s="8" t="s">
        <v>19</v>
      </c>
      <c r="L35" s="8" t="s">
        <v>20</v>
      </c>
    </row>
    <row r="36" spans="1:12" x14ac:dyDescent="0.25">
      <c r="A36" s="5" t="s">
        <v>21</v>
      </c>
      <c r="B36" s="6">
        <v>43339</v>
      </c>
      <c r="C36" s="7" t="e">
        <f>MONTH([1]!Table1[[#This Row],[Date]])</f>
        <v>#REF!</v>
      </c>
      <c r="D36" s="8">
        <v>29</v>
      </c>
      <c r="E36" s="8">
        <v>9</v>
      </c>
      <c r="F36" s="8">
        <v>6</v>
      </c>
      <c r="G36" s="8">
        <v>174</v>
      </c>
      <c r="H36" s="9">
        <v>261</v>
      </c>
      <c r="I36" s="10" t="s">
        <v>22</v>
      </c>
      <c r="J36" s="8" t="s">
        <v>14</v>
      </c>
      <c r="K36" s="8" t="s">
        <v>15</v>
      </c>
      <c r="L36" s="8" t="s">
        <v>16</v>
      </c>
    </row>
    <row r="37" spans="1:12" x14ac:dyDescent="0.25">
      <c r="A37" s="5" t="s">
        <v>24</v>
      </c>
      <c r="B37" s="6">
        <v>43346</v>
      </c>
      <c r="C37" s="7" t="e">
        <f>MONTH([1]!Table1[[#This Row],[Date]])</f>
        <v>#REF!</v>
      </c>
      <c r="D37" s="8">
        <v>31</v>
      </c>
      <c r="E37" s="8">
        <v>6</v>
      </c>
      <c r="F37" s="8">
        <v>3</v>
      </c>
      <c r="G37" s="8">
        <v>93</v>
      </c>
      <c r="H37" s="9">
        <v>186</v>
      </c>
      <c r="I37" s="10" t="s">
        <v>25</v>
      </c>
      <c r="J37" s="8" t="s">
        <v>26</v>
      </c>
      <c r="K37" s="8" t="s">
        <v>19</v>
      </c>
      <c r="L37" s="8" t="s">
        <v>20</v>
      </c>
    </row>
    <row r="38" spans="1:12" x14ac:dyDescent="0.25">
      <c r="A38" s="5" t="s">
        <v>35</v>
      </c>
      <c r="B38" s="6">
        <v>43353</v>
      </c>
      <c r="C38" s="7" t="e">
        <f>MONTH([1]!Table1[[#This Row],[Date]])</f>
        <v>#REF!</v>
      </c>
      <c r="D38" s="8">
        <v>33</v>
      </c>
      <c r="E38" s="8">
        <v>7</v>
      </c>
      <c r="F38" s="8">
        <v>6</v>
      </c>
      <c r="G38" s="8">
        <v>198</v>
      </c>
      <c r="H38" s="9">
        <v>231</v>
      </c>
      <c r="I38" s="10" t="s">
        <v>36</v>
      </c>
      <c r="J38" s="8" t="s">
        <v>23</v>
      </c>
      <c r="K38" s="8" t="s">
        <v>33</v>
      </c>
      <c r="L38" s="8" t="s">
        <v>34</v>
      </c>
    </row>
    <row r="39" spans="1:12" x14ac:dyDescent="0.25">
      <c r="A39" s="5" t="s">
        <v>37</v>
      </c>
      <c r="B39" s="6">
        <v>43360</v>
      </c>
      <c r="C39" s="7" t="e">
        <f>MONTH([1]!Table1[[#This Row],[Date]])</f>
        <v>#REF!</v>
      </c>
      <c r="D39" s="8">
        <v>35</v>
      </c>
      <c r="E39" s="8">
        <v>5</v>
      </c>
      <c r="F39" s="8">
        <v>4</v>
      </c>
      <c r="G39" s="8">
        <v>140</v>
      </c>
      <c r="H39" s="9">
        <v>175</v>
      </c>
      <c r="I39" s="10" t="s">
        <v>38</v>
      </c>
      <c r="J39" s="8" t="s">
        <v>39</v>
      </c>
      <c r="K39" s="8" t="s">
        <v>29</v>
      </c>
      <c r="L39" s="8" t="s">
        <v>30</v>
      </c>
    </row>
    <row r="40" spans="1:12" x14ac:dyDescent="0.25">
      <c r="A40" s="5" t="s">
        <v>24</v>
      </c>
      <c r="B40" s="6">
        <v>43367</v>
      </c>
      <c r="C40" s="7" t="e">
        <f>MONTH([1]!Table1[[#This Row],[Date]])</f>
        <v>#REF!</v>
      </c>
      <c r="D40" s="8">
        <v>37</v>
      </c>
      <c r="E40" s="8">
        <v>6</v>
      </c>
      <c r="F40" s="8">
        <v>3</v>
      </c>
      <c r="G40" s="8">
        <v>111</v>
      </c>
      <c r="H40" s="9">
        <v>222</v>
      </c>
      <c r="I40" s="10" t="s">
        <v>25</v>
      </c>
      <c r="J40" s="8" t="s">
        <v>26</v>
      </c>
      <c r="K40" s="8" t="s">
        <v>19</v>
      </c>
      <c r="L40" s="8" t="s">
        <v>20</v>
      </c>
    </row>
    <row r="41" spans="1:12" x14ac:dyDescent="0.25">
      <c r="A41" s="5" t="s">
        <v>21</v>
      </c>
      <c r="B41" s="6">
        <v>43374</v>
      </c>
      <c r="C41" s="7" t="e">
        <f>MONTH([1]!Table1[[#This Row],[Date]])</f>
        <v>#REF!</v>
      </c>
      <c r="D41" s="8">
        <v>39</v>
      </c>
      <c r="E41" s="8">
        <v>9</v>
      </c>
      <c r="F41" s="8">
        <v>6</v>
      </c>
      <c r="G41" s="8">
        <v>234</v>
      </c>
      <c r="H41" s="9">
        <v>351</v>
      </c>
      <c r="I41" s="10" t="s">
        <v>22</v>
      </c>
      <c r="J41" s="8" t="s">
        <v>23</v>
      </c>
      <c r="K41" s="8" t="s">
        <v>15</v>
      </c>
      <c r="L41" s="8" t="s">
        <v>16</v>
      </c>
    </row>
    <row r="42" spans="1:12" x14ac:dyDescent="0.25">
      <c r="A42" s="5" t="s">
        <v>12</v>
      </c>
      <c r="B42" s="6">
        <v>43381</v>
      </c>
      <c r="C42" s="7" t="e">
        <f>MONTH([1]!Table1[[#This Row],[Date]])</f>
        <v>#REF!</v>
      </c>
      <c r="D42" s="8">
        <v>37</v>
      </c>
      <c r="E42" s="8">
        <v>5</v>
      </c>
      <c r="F42" s="8">
        <v>3</v>
      </c>
      <c r="G42" s="8">
        <v>111</v>
      </c>
      <c r="H42" s="9">
        <v>185</v>
      </c>
      <c r="I42" s="10" t="s">
        <v>13</v>
      </c>
      <c r="J42" s="8" t="s">
        <v>14</v>
      </c>
      <c r="K42" s="8" t="s">
        <v>15</v>
      </c>
      <c r="L42" s="8" t="s">
        <v>16</v>
      </c>
    </row>
    <row r="43" spans="1:12" x14ac:dyDescent="0.25">
      <c r="A43" s="5" t="s">
        <v>17</v>
      </c>
      <c r="B43" s="6">
        <v>43388</v>
      </c>
      <c r="C43" s="7" t="e">
        <f>MONTH([1]!Table1[[#This Row],[Date]])</f>
        <v>#REF!</v>
      </c>
      <c r="D43" s="8">
        <v>35</v>
      </c>
      <c r="E43" s="8">
        <v>4</v>
      </c>
      <c r="F43" s="8">
        <v>3</v>
      </c>
      <c r="G43" s="8">
        <v>105</v>
      </c>
      <c r="H43" s="9">
        <v>140</v>
      </c>
      <c r="I43" s="10" t="s">
        <v>18</v>
      </c>
      <c r="J43" s="8" t="s">
        <v>14</v>
      </c>
      <c r="K43" s="8" t="s">
        <v>19</v>
      </c>
      <c r="L43" s="8" t="s">
        <v>20</v>
      </c>
    </row>
    <row r="44" spans="1:12" x14ac:dyDescent="0.25">
      <c r="A44" s="5" t="s">
        <v>31</v>
      </c>
      <c r="B44" s="6">
        <v>43395</v>
      </c>
      <c r="C44" s="7" t="e">
        <f>MONTH([1]!Table1[[#This Row],[Date]])</f>
        <v>#REF!</v>
      </c>
      <c r="D44" s="8">
        <v>33</v>
      </c>
      <c r="E44" s="8">
        <v>7</v>
      </c>
      <c r="F44" s="8">
        <v>4</v>
      </c>
      <c r="G44" s="8">
        <v>132</v>
      </c>
      <c r="H44" s="9">
        <v>231</v>
      </c>
      <c r="I44" s="10" t="s">
        <v>32</v>
      </c>
      <c r="J44" s="8" t="s">
        <v>14</v>
      </c>
      <c r="K44" s="8" t="s">
        <v>33</v>
      </c>
      <c r="L44" s="8" t="s">
        <v>34</v>
      </c>
    </row>
    <row r="45" spans="1:12" x14ac:dyDescent="0.25">
      <c r="A45" s="5" t="s">
        <v>24</v>
      </c>
      <c r="B45" s="6">
        <v>43402</v>
      </c>
      <c r="C45" s="7" t="e">
        <f>MONTH([1]!Table1[[#This Row],[Date]])</f>
        <v>#REF!</v>
      </c>
      <c r="D45" s="8">
        <v>31</v>
      </c>
      <c r="E45" s="8">
        <v>6</v>
      </c>
      <c r="F45" s="8">
        <v>3</v>
      </c>
      <c r="G45" s="8">
        <v>93</v>
      </c>
      <c r="H45" s="9">
        <v>186</v>
      </c>
      <c r="I45" s="10" t="s">
        <v>25</v>
      </c>
      <c r="J45" s="8" t="s">
        <v>26</v>
      </c>
      <c r="K45" s="8" t="s">
        <v>19</v>
      </c>
      <c r="L45" s="8" t="s">
        <v>20</v>
      </c>
    </row>
    <row r="46" spans="1:12" x14ac:dyDescent="0.25">
      <c r="A46" s="5" t="s">
        <v>35</v>
      </c>
      <c r="B46" s="6">
        <v>43409</v>
      </c>
      <c r="C46" s="7" t="e">
        <f>MONTH([1]!Table1[[#This Row],[Date]])</f>
        <v>#REF!</v>
      </c>
      <c r="D46" s="8">
        <v>29</v>
      </c>
      <c r="E46" s="8">
        <v>7</v>
      </c>
      <c r="F46" s="8">
        <v>6</v>
      </c>
      <c r="G46" s="8">
        <v>174</v>
      </c>
      <c r="H46" s="9">
        <v>203</v>
      </c>
      <c r="I46" s="10" t="s">
        <v>36</v>
      </c>
      <c r="J46" s="8" t="s">
        <v>23</v>
      </c>
      <c r="K46" s="8" t="s">
        <v>33</v>
      </c>
      <c r="L46" s="8" t="s">
        <v>34</v>
      </c>
    </row>
    <row r="47" spans="1:12" x14ac:dyDescent="0.25">
      <c r="A47" s="5" t="s">
        <v>37</v>
      </c>
      <c r="B47" s="6">
        <v>43416</v>
      </c>
      <c r="C47" s="7" t="e">
        <f>MONTH([1]!Table1[[#This Row],[Date]])</f>
        <v>#REF!</v>
      </c>
      <c r="D47" s="8">
        <v>27</v>
      </c>
      <c r="E47" s="8">
        <v>5</v>
      </c>
      <c r="F47" s="8">
        <v>4</v>
      </c>
      <c r="G47" s="8">
        <v>108</v>
      </c>
      <c r="H47" s="9">
        <v>135</v>
      </c>
      <c r="I47" s="10" t="s">
        <v>38</v>
      </c>
      <c r="J47" s="8" t="s">
        <v>39</v>
      </c>
      <c r="K47" s="8" t="s">
        <v>29</v>
      </c>
      <c r="L47" s="8" t="s">
        <v>30</v>
      </c>
    </row>
    <row r="48" spans="1:12" x14ac:dyDescent="0.25">
      <c r="A48" s="5" t="s">
        <v>35</v>
      </c>
      <c r="B48" s="6">
        <v>43423</v>
      </c>
      <c r="C48" s="7" t="e">
        <f>MONTH([1]!Table1[[#This Row],[Date]])</f>
        <v>#REF!</v>
      </c>
      <c r="D48" s="8">
        <v>25</v>
      </c>
      <c r="E48" s="8">
        <v>7</v>
      </c>
      <c r="F48" s="8">
        <v>6</v>
      </c>
      <c r="G48" s="8">
        <v>150</v>
      </c>
      <c r="H48" s="9">
        <v>175</v>
      </c>
      <c r="I48" s="10" t="s">
        <v>36</v>
      </c>
      <c r="J48" s="8" t="s">
        <v>23</v>
      </c>
      <c r="K48" s="8" t="s">
        <v>33</v>
      </c>
      <c r="L48" s="8" t="s">
        <v>34</v>
      </c>
    </row>
    <row r="49" spans="1:12" x14ac:dyDescent="0.25">
      <c r="A49" s="5" t="s">
        <v>21</v>
      </c>
      <c r="B49" s="6">
        <v>43430</v>
      </c>
      <c r="C49" s="7" t="e">
        <f>MONTH([1]!Table1[[#This Row],[Date]])</f>
        <v>#REF!</v>
      </c>
      <c r="D49" s="8">
        <v>23</v>
      </c>
      <c r="E49" s="8">
        <v>9</v>
      </c>
      <c r="F49" s="8">
        <v>6</v>
      </c>
      <c r="G49" s="8">
        <v>138</v>
      </c>
      <c r="H49" s="9">
        <v>207</v>
      </c>
      <c r="I49" s="10" t="s">
        <v>22</v>
      </c>
      <c r="J49" s="8" t="s">
        <v>23</v>
      </c>
      <c r="K49" s="8" t="s">
        <v>15</v>
      </c>
      <c r="L49" s="8" t="s">
        <v>16</v>
      </c>
    </row>
    <row r="50" spans="1:12" x14ac:dyDescent="0.25">
      <c r="A50" s="5" t="s">
        <v>12</v>
      </c>
      <c r="B50" s="6">
        <v>43437</v>
      </c>
      <c r="C50" s="7" t="e">
        <f>MONTH([1]!Table1[[#This Row],[Date]])</f>
        <v>#REF!</v>
      </c>
      <c r="D50" s="8">
        <v>21</v>
      </c>
      <c r="E50" s="8">
        <v>5</v>
      </c>
      <c r="F50" s="8">
        <v>3</v>
      </c>
      <c r="G50" s="8">
        <v>63</v>
      </c>
      <c r="H50" s="9">
        <v>105</v>
      </c>
      <c r="I50" s="10" t="s">
        <v>13</v>
      </c>
      <c r="J50" s="8" t="s">
        <v>14</v>
      </c>
      <c r="K50" s="8" t="s">
        <v>15</v>
      </c>
      <c r="L50" s="8" t="s">
        <v>16</v>
      </c>
    </row>
    <row r="51" spans="1:12" x14ac:dyDescent="0.25">
      <c r="A51" s="5" t="s">
        <v>17</v>
      </c>
      <c r="B51" s="6">
        <v>43444</v>
      </c>
      <c r="C51" s="7" t="e">
        <f>MONTH([1]!Table1[[#This Row],[Date]])</f>
        <v>#REF!</v>
      </c>
      <c r="D51" s="8">
        <v>19</v>
      </c>
      <c r="E51" s="8">
        <v>4</v>
      </c>
      <c r="F51" s="8">
        <v>3</v>
      </c>
      <c r="G51" s="8">
        <v>57</v>
      </c>
      <c r="H51" s="9">
        <v>76</v>
      </c>
      <c r="I51" s="10" t="s">
        <v>18</v>
      </c>
      <c r="J51" s="8" t="s">
        <v>23</v>
      </c>
      <c r="K51" s="8" t="s">
        <v>19</v>
      </c>
      <c r="L51" s="8" t="s">
        <v>20</v>
      </c>
    </row>
    <row r="52" spans="1:12" x14ac:dyDescent="0.25">
      <c r="A52" s="5" t="s">
        <v>31</v>
      </c>
      <c r="B52" s="6">
        <v>43451</v>
      </c>
      <c r="C52" s="7" t="e">
        <f>MONTH([1]!Table1[[#This Row],[Date]])</f>
        <v>#REF!</v>
      </c>
      <c r="D52" s="8">
        <v>17</v>
      </c>
      <c r="E52" s="8">
        <v>7</v>
      </c>
      <c r="F52" s="8">
        <v>4</v>
      </c>
      <c r="G52" s="8">
        <v>68</v>
      </c>
      <c r="H52" s="9">
        <v>119</v>
      </c>
      <c r="I52" s="10" t="s">
        <v>32</v>
      </c>
      <c r="J52" s="8" t="s">
        <v>14</v>
      </c>
      <c r="K52" s="8" t="s">
        <v>33</v>
      </c>
      <c r="L52" s="8" t="s">
        <v>34</v>
      </c>
    </row>
    <row r="53" spans="1:12" x14ac:dyDescent="0.25">
      <c r="A53" s="5" t="s">
        <v>24</v>
      </c>
      <c r="B53" s="6">
        <v>43458</v>
      </c>
      <c r="C53" s="7" t="e">
        <f>MONTH([1]!Table1[[#This Row],[Date]])</f>
        <v>#REF!</v>
      </c>
      <c r="D53" s="8">
        <v>15</v>
      </c>
      <c r="E53" s="8">
        <v>6</v>
      </c>
      <c r="F53" s="8">
        <v>3</v>
      </c>
      <c r="G53" s="8">
        <v>45</v>
      </c>
      <c r="H53" s="9">
        <v>90</v>
      </c>
      <c r="I53" s="10" t="s">
        <v>25</v>
      </c>
      <c r="J53" s="8" t="s">
        <v>26</v>
      </c>
      <c r="K53" s="8" t="s">
        <v>19</v>
      </c>
      <c r="L53" s="8" t="s">
        <v>20</v>
      </c>
    </row>
    <row r="54" spans="1:12" x14ac:dyDescent="0.25">
      <c r="A54" s="5" t="s">
        <v>35</v>
      </c>
      <c r="B54" s="6">
        <v>43465</v>
      </c>
      <c r="C54" s="7" t="e">
        <f>MONTH([1]!Table1[[#This Row],[Date]])</f>
        <v>#REF!</v>
      </c>
      <c r="D54" s="8">
        <v>13</v>
      </c>
      <c r="E54" s="8">
        <v>7</v>
      </c>
      <c r="F54" s="8">
        <v>6</v>
      </c>
      <c r="G54" s="8">
        <v>78</v>
      </c>
      <c r="H54" s="9">
        <v>91</v>
      </c>
      <c r="I54" s="10" t="s">
        <v>36</v>
      </c>
      <c r="J54" s="8" t="s">
        <v>23</v>
      </c>
      <c r="K54" s="8" t="s">
        <v>33</v>
      </c>
      <c r="L54" s="8" t="s">
        <v>34</v>
      </c>
    </row>
    <row r="55" spans="1:12" x14ac:dyDescent="0.25">
      <c r="A55" s="5" t="s">
        <v>35</v>
      </c>
      <c r="B55" s="6">
        <v>43472</v>
      </c>
      <c r="C55" s="7" t="e">
        <f>MONTH([1]!Table1[[#This Row],[Date]])</f>
        <v>#REF!</v>
      </c>
      <c r="D55" s="8">
        <v>11</v>
      </c>
      <c r="E55" s="8">
        <v>7</v>
      </c>
      <c r="F55" s="8">
        <v>7</v>
      </c>
      <c r="G55" s="8">
        <v>77</v>
      </c>
      <c r="H55" s="9">
        <v>77</v>
      </c>
      <c r="I55" s="10" t="s">
        <v>36</v>
      </c>
      <c r="J55" s="8" t="s">
        <v>23</v>
      </c>
      <c r="K55" s="8" t="s">
        <v>33</v>
      </c>
      <c r="L55" s="8" t="s">
        <v>34</v>
      </c>
    </row>
    <row r="56" spans="1:12" x14ac:dyDescent="0.25">
      <c r="A56" s="5" t="s">
        <v>27</v>
      </c>
      <c r="B56" s="6">
        <v>43479</v>
      </c>
      <c r="C56" s="7" t="e">
        <f>MONTH([1]!Table1[[#This Row],[Date]])</f>
        <v>#REF!</v>
      </c>
      <c r="D56" s="8">
        <v>9</v>
      </c>
      <c r="E56" s="8">
        <v>5</v>
      </c>
      <c r="F56" s="8">
        <v>4</v>
      </c>
      <c r="G56" s="8">
        <v>36</v>
      </c>
      <c r="H56" s="9">
        <v>45</v>
      </c>
      <c r="I56" s="10" t="s">
        <v>28</v>
      </c>
      <c r="J56" s="8" t="s">
        <v>26</v>
      </c>
      <c r="K56" s="8" t="s">
        <v>29</v>
      </c>
      <c r="L56" s="8" t="s">
        <v>30</v>
      </c>
    </row>
    <row r="57" spans="1:12" x14ac:dyDescent="0.25">
      <c r="A57" s="5" t="s">
        <v>21</v>
      </c>
      <c r="B57" s="6">
        <v>43486</v>
      </c>
      <c r="C57" s="7" t="e">
        <f>MONTH([1]!Table1[[#This Row],[Date]])</f>
        <v>#REF!</v>
      </c>
      <c r="D57" s="8">
        <v>7</v>
      </c>
      <c r="E57" s="8">
        <v>9</v>
      </c>
      <c r="F57" s="8">
        <v>7</v>
      </c>
      <c r="G57" s="8">
        <v>49</v>
      </c>
      <c r="H57" s="9">
        <v>63</v>
      </c>
      <c r="I57" s="10" t="s">
        <v>22</v>
      </c>
      <c r="J57" s="8" t="s">
        <v>23</v>
      </c>
      <c r="K57" s="8" t="s">
        <v>15</v>
      </c>
      <c r="L57" s="8" t="s">
        <v>16</v>
      </c>
    </row>
    <row r="58" spans="1:12" x14ac:dyDescent="0.25">
      <c r="A58" s="5" t="s">
        <v>12</v>
      </c>
      <c r="B58" s="6">
        <v>43493</v>
      </c>
      <c r="C58" s="7" t="e">
        <f>MONTH([1]!Table1[[#This Row],[Date]])</f>
        <v>#REF!</v>
      </c>
      <c r="D58" s="8">
        <v>3</v>
      </c>
      <c r="E58" s="8">
        <v>5</v>
      </c>
      <c r="F58" s="8">
        <v>2</v>
      </c>
      <c r="G58" s="8">
        <v>6</v>
      </c>
      <c r="H58" s="9">
        <v>15</v>
      </c>
      <c r="I58" s="10" t="s">
        <v>13</v>
      </c>
      <c r="J58" s="8" t="s">
        <v>14</v>
      </c>
      <c r="K58" s="8" t="s">
        <v>15</v>
      </c>
      <c r="L58" s="8" t="s">
        <v>16</v>
      </c>
    </row>
    <row r="59" spans="1:12" x14ac:dyDescent="0.25">
      <c r="A59" s="5" t="s">
        <v>17</v>
      </c>
      <c r="B59" s="6">
        <v>43500</v>
      </c>
      <c r="C59" s="7" t="e">
        <f>MONTH([1]!Table1[[#This Row],[Date]])</f>
        <v>#REF!</v>
      </c>
      <c r="D59" s="8">
        <v>3</v>
      </c>
      <c r="E59" s="8">
        <v>4</v>
      </c>
      <c r="F59" s="8">
        <v>3</v>
      </c>
      <c r="G59" s="8">
        <v>9</v>
      </c>
      <c r="H59" s="9">
        <v>12</v>
      </c>
      <c r="I59" s="10" t="s">
        <v>18</v>
      </c>
      <c r="J59" s="8" t="s">
        <v>14</v>
      </c>
      <c r="K59" s="8" t="s">
        <v>19</v>
      </c>
      <c r="L59" s="8" t="s">
        <v>20</v>
      </c>
    </row>
    <row r="60" spans="1:12" x14ac:dyDescent="0.25">
      <c r="A60" s="5" t="s">
        <v>17</v>
      </c>
      <c r="B60" s="6">
        <v>43507</v>
      </c>
      <c r="C60" s="7" t="e">
        <f>MONTH([1]!Table1[[#This Row],[Date]])</f>
        <v>#REF!</v>
      </c>
      <c r="D60" s="8">
        <v>3</v>
      </c>
      <c r="E60" s="8">
        <v>4</v>
      </c>
      <c r="F60" s="8">
        <v>3</v>
      </c>
      <c r="G60" s="8">
        <v>9</v>
      </c>
      <c r="H60" s="9">
        <v>12</v>
      </c>
      <c r="I60" s="10" t="s">
        <v>18</v>
      </c>
      <c r="J60" s="8" t="s">
        <v>14</v>
      </c>
      <c r="K60" s="8" t="s">
        <v>19</v>
      </c>
      <c r="L60" s="8" t="s">
        <v>20</v>
      </c>
    </row>
    <row r="61" spans="1:12" x14ac:dyDescent="0.25">
      <c r="A61" s="5" t="s">
        <v>24</v>
      </c>
      <c r="B61" s="6">
        <v>43514</v>
      </c>
      <c r="C61" s="7" t="e">
        <f>MONTH([1]!Table1[[#This Row],[Date]])</f>
        <v>#REF!</v>
      </c>
      <c r="D61" s="8">
        <v>3</v>
      </c>
      <c r="E61" s="8">
        <v>6</v>
      </c>
      <c r="F61" s="8">
        <v>5</v>
      </c>
      <c r="G61" s="8">
        <v>15</v>
      </c>
      <c r="H61" s="9">
        <v>18</v>
      </c>
      <c r="I61" s="10" t="s">
        <v>25</v>
      </c>
      <c r="J61" s="8" t="s">
        <v>26</v>
      </c>
      <c r="K61" s="8" t="s">
        <v>19</v>
      </c>
      <c r="L61" s="8" t="s">
        <v>20</v>
      </c>
    </row>
    <row r="62" spans="1:12" x14ac:dyDescent="0.25">
      <c r="A62" s="5" t="s">
        <v>35</v>
      </c>
      <c r="B62" s="6">
        <v>43521</v>
      </c>
      <c r="C62" s="7" t="e">
        <f>MONTH([1]!Table1[[#This Row],[Date]])</f>
        <v>#REF!</v>
      </c>
      <c r="D62" s="8">
        <v>3</v>
      </c>
      <c r="E62" s="8">
        <v>7</v>
      </c>
      <c r="F62" s="8">
        <v>7</v>
      </c>
      <c r="G62" s="8">
        <v>21</v>
      </c>
      <c r="H62" s="9">
        <v>21</v>
      </c>
      <c r="I62" s="10" t="s">
        <v>36</v>
      </c>
      <c r="J62" s="8" t="s">
        <v>23</v>
      </c>
      <c r="K62" s="8" t="s">
        <v>33</v>
      </c>
      <c r="L62" s="8" t="s">
        <v>34</v>
      </c>
    </row>
    <row r="63" spans="1:12" x14ac:dyDescent="0.25">
      <c r="A63" s="5" t="s">
        <v>21</v>
      </c>
      <c r="B63" s="6">
        <v>43528</v>
      </c>
      <c r="C63" s="7" t="e">
        <f>MONTH([1]!Table1[[#This Row],[Date]])</f>
        <v>#REF!</v>
      </c>
      <c r="D63" s="8">
        <v>3</v>
      </c>
      <c r="E63" s="8">
        <v>9</v>
      </c>
      <c r="F63" s="8">
        <v>7</v>
      </c>
      <c r="G63" s="8">
        <v>21</v>
      </c>
      <c r="H63" s="9">
        <v>27</v>
      </c>
      <c r="I63" s="10" t="s">
        <v>22</v>
      </c>
      <c r="J63" s="8" t="s">
        <v>23</v>
      </c>
      <c r="K63" s="8" t="s">
        <v>15</v>
      </c>
      <c r="L63" s="8" t="s">
        <v>16</v>
      </c>
    </row>
    <row r="64" spans="1:12" x14ac:dyDescent="0.25">
      <c r="A64" s="5" t="s">
        <v>27</v>
      </c>
      <c r="B64" s="6">
        <v>43535</v>
      </c>
      <c r="C64" s="7" t="e">
        <f>MONTH([1]!Table1[[#This Row],[Date]])</f>
        <v>#REF!</v>
      </c>
      <c r="D64" s="8">
        <v>3</v>
      </c>
      <c r="E64" s="8">
        <v>5</v>
      </c>
      <c r="F64" s="8">
        <v>4</v>
      </c>
      <c r="G64" s="8">
        <v>12</v>
      </c>
      <c r="H64" s="9">
        <v>15</v>
      </c>
      <c r="I64" s="10" t="s">
        <v>28</v>
      </c>
      <c r="J64" s="8" t="s">
        <v>26</v>
      </c>
      <c r="K64" s="8" t="s">
        <v>29</v>
      </c>
      <c r="L64" s="8" t="s">
        <v>30</v>
      </c>
    </row>
    <row r="65" spans="1:12" x14ac:dyDescent="0.25">
      <c r="A65" s="5" t="s">
        <v>21</v>
      </c>
      <c r="B65" s="6">
        <v>43542</v>
      </c>
      <c r="C65" s="7" t="e">
        <f>MONTH([1]!Table1[[#This Row],[Date]])</f>
        <v>#REF!</v>
      </c>
      <c r="D65" s="8">
        <v>5</v>
      </c>
      <c r="E65" s="8">
        <v>9</v>
      </c>
      <c r="F65" s="8">
        <v>7</v>
      </c>
      <c r="G65" s="8">
        <v>35</v>
      </c>
      <c r="H65" s="9">
        <v>45</v>
      </c>
      <c r="I65" s="10" t="s">
        <v>22</v>
      </c>
      <c r="J65" s="8" t="s">
        <v>14</v>
      </c>
      <c r="K65" s="8" t="s">
        <v>15</v>
      </c>
      <c r="L65" s="8" t="s">
        <v>16</v>
      </c>
    </row>
    <row r="66" spans="1:12" x14ac:dyDescent="0.25">
      <c r="A66" s="5" t="s">
        <v>12</v>
      </c>
      <c r="B66" s="6">
        <v>43549</v>
      </c>
      <c r="C66" s="7" t="e">
        <f>MONTH([1]!Table1[[#This Row],[Date]])</f>
        <v>#REF!</v>
      </c>
      <c r="D66" s="8">
        <v>7</v>
      </c>
      <c r="E66" s="8">
        <v>5</v>
      </c>
      <c r="F66" s="8">
        <v>2</v>
      </c>
      <c r="G66" s="8">
        <v>14</v>
      </c>
      <c r="H66" s="9">
        <v>35</v>
      </c>
      <c r="I66" s="10" t="s">
        <v>13</v>
      </c>
      <c r="J66" s="8" t="s">
        <v>14</v>
      </c>
      <c r="K66" s="8" t="s">
        <v>15</v>
      </c>
      <c r="L66" s="8" t="s">
        <v>16</v>
      </c>
    </row>
    <row r="67" spans="1:12" x14ac:dyDescent="0.25">
      <c r="A67" s="5" t="s">
        <v>17</v>
      </c>
      <c r="B67" s="6">
        <v>43556</v>
      </c>
      <c r="C67" s="7" t="e">
        <f>MONTH([1]!Table1[[#This Row],[Date]])</f>
        <v>#REF!</v>
      </c>
      <c r="D67" s="8">
        <v>9</v>
      </c>
      <c r="E67" s="8">
        <v>4</v>
      </c>
      <c r="F67" s="8">
        <v>3</v>
      </c>
      <c r="G67" s="8">
        <v>27</v>
      </c>
      <c r="H67" s="9">
        <v>36</v>
      </c>
      <c r="I67" s="10" t="s">
        <v>18</v>
      </c>
      <c r="J67" s="8" t="s">
        <v>14</v>
      </c>
      <c r="K67" s="8" t="s">
        <v>19</v>
      </c>
      <c r="L67" s="8" t="s">
        <v>20</v>
      </c>
    </row>
    <row r="68" spans="1:12" x14ac:dyDescent="0.25">
      <c r="A68" s="5" t="s">
        <v>17</v>
      </c>
      <c r="B68" s="6">
        <v>43563</v>
      </c>
      <c r="C68" s="7" t="e">
        <f>MONTH([1]!Table1[[#This Row],[Date]])</f>
        <v>#REF!</v>
      </c>
      <c r="D68" s="8">
        <v>11</v>
      </c>
      <c r="E68" s="8">
        <v>4</v>
      </c>
      <c r="F68" s="8">
        <v>3</v>
      </c>
      <c r="G68" s="8">
        <v>33</v>
      </c>
      <c r="H68" s="9">
        <v>44</v>
      </c>
      <c r="I68" s="10" t="s">
        <v>18</v>
      </c>
      <c r="J68" s="8" t="s">
        <v>14</v>
      </c>
      <c r="K68" s="8" t="s">
        <v>19</v>
      </c>
      <c r="L68" s="8" t="s">
        <v>20</v>
      </c>
    </row>
    <row r="69" spans="1:12" x14ac:dyDescent="0.25">
      <c r="A69" s="5" t="s">
        <v>24</v>
      </c>
      <c r="B69" s="6">
        <v>43570</v>
      </c>
      <c r="C69" s="7" t="e">
        <f>MONTH([1]!Table1[[#This Row],[Date]])</f>
        <v>#REF!</v>
      </c>
      <c r="D69" s="8">
        <v>13</v>
      </c>
      <c r="E69" s="8">
        <v>6</v>
      </c>
      <c r="F69" s="8">
        <v>3</v>
      </c>
      <c r="G69" s="8">
        <v>39</v>
      </c>
      <c r="H69" s="9">
        <v>78</v>
      </c>
      <c r="I69" s="10" t="s">
        <v>25</v>
      </c>
      <c r="J69" s="8" t="s">
        <v>26</v>
      </c>
      <c r="K69" s="8" t="s">
        <v>19</v>
      </c>
      <c r="L69" s="8" t="s">
        <v>20</v>
      </c>
    </row>
    <row r="70" spans="1:12" x14ac:dyDescent="0.25">
      <c r="A70" s="5" t="s">
        <v>35</v>
      </c>
      <c r="B70" s="6">
        <v>43577</v>
      </c>
      <c r="C70" s="7" t="e">
        <f>MONTH([1]!Table1[[#This Row],[Date]])</f>
        <v>#REF!</v>
      </c>
      <c r="D70" s="8">
        <v>15</v>
      </c>
      <c r="E70" s="8">
        <v>7</v>
      </c>
      <c r="F70" s="8">
        <v>7</v>
      </c>
      <c r="G70" s="8">
        <v>105</v>
      </c>
      <c r="H70" s="9">
        <v>105</v>
      </c>
      <c r="I70" s="10" t="s">
        <v>36</v>
      </c>
      <c r="J70" s="8" t="s">
        <v>23</v>
      </c>
      <c r="K70" s="8" t="s">
        <v>33</v>
      </c>
      <c r="L70" s="8" t="s">
        <v>34</v>
      </c>
    </row>
    <row r="71" spans="1:12" x14ac:dyDescent="0.25">
      <c r="A71" s="5" t="s">
        <v>37</v>
      </c>
      <c r="B71" s="6">
        <v>43584</v>
      </c>
      <c r="C71" s="7" t="e">
        <f>MONTH([1]!Table1[[#This Row],[Date]])</f>
        <v>#REF!</v>
      </c>
      <c r="D71" s="8">
        <v>17</v>
      </c>
      <c r="E71" s="8">
        <v>5</v>
      </c>
      <c r="F71" s="8">
        <v>4</v>
      </c>
      <c r="G71" s="8">
        <v>68</v>
      </c>
      <c r="H71" s="9">
        <v>85</v>
      </c>
      <c r="I71" s="10" t="s">
        <v>38</v>
      </c>
      <c r="J71" s="8" t="s">
        <v>39</v>
      </c>
      <c r="K71" s="8" t="s">
        <v>29</v>
      </c>
      <c r="L71" s="8" t="s">
        <v>30</v>
      </c>
    </row>
    <row r="72" spans="1:12" x14ac:dyDescent="0.25">
      <c r="A72" s="5" t="s">
        <v>27</v>
      </c>
      <c r="B72" s="6">
        <v>43591</v>
      </c>
      <c r="C72" s="7" t="e">
        <f>MONTH([1]!Table1[[#This Row],[Date]])</f>
        <v>#REF!</v>
      </c>
      <c r="D72" s="8">
        <v>19</v>
      </c>
      <c r="E72" s="8">
        <v>5</v>
      </c>
      <c r="F72" s="8">
        <v>3</v>
      </c>
      <c r="G72" s="8">
        <v>57</v>
      </c>
      <c r="H72" s="9">
        <v>95</v>
      </c>
      <c r="I72" s="10" t="s">
        <v>28</v>
      </c>
      <c r="J72" s="8" t="s">
        <v>26</v>
      </c>
      <c r="K72" s="8" t="s">
        <v>29</v>
      </c>
      <c r="L72" s="8" t="s">
        <v>30</v>
      </c>
    </row>
    <row r="73" spans="1:12" x14ac:dyDescent="0.25">
      <c r="A73" s="5" t="s">
        <v>17</v>
      </c>
      <c r="B73" s="6">
        <v>43598</v>
      </c>
      <c r="C73" s="7" t="e">
        <f>MONTH([1]!Table1[[#This Row],[Date]])</f>
        <v>#REF!</v>
      </c>
      <c r="D73" s="8">
        <v>21</v>
      </c>
      <c r="E73" s="8">
        <v>4</v>
      </c>
      <c r="F73" s="8">
        <v>3</v>
      </c>
      <c r="G73" s="8">
        <v>63</v>
      </c>
      <c r="H73" s="9">
        <v>84</v>
      </c>
      <c r="I73" s="10" t="s">
        <v>18</v>
      </c>
      <c r="J73" s="8" t="s">
        <v>14</v>
      </c>
      <c r="K73" s="8" t="s">
        <v>19</v>
      </c>
      <c r="L73" s="8" t="s">
        <v>20</v>
      </c>
    </row>
    <row r="74" spans="1:12" x14ac:dyDescent="0.25">
      <c r="A74" s="5" t="s">
        <v>12</v>
      </c>
      <c r="B74" s="6">
        <v>43605</v>
      </c>
      <c r="C74" s="7" t="e">
        <f>MONTH([1]!Table1[[#This Row],[Date]])</f>
        <v>#REF!</v>
      </c>
      <c r="D74" s="8">
        <v>23</v>
      </c>
      <c r="E74" s="8">
        <v>5</v>
      </c>
      <c r="F74" s="8">
        <v>3</v>
      </c>
      <c r="G74" s="8">
        <v>69</v>
      </c>
      <c r="H74" s="9">
        <v>115</v>
      </c>
      <c r="I74" s="10" t="s">
        <v>13</v>
      </c>
      <c r="J74" s="8" t="s">
        <v>14</v>
      </c>
      <c r="K74" s="8" t="s">
        <v>15</v>
      </c>
      <c r="L74" s="8" t="s">
        <v>16</v>
      </c>
    </row>
    <row r="75" spans="1:12" x14ac:dyDescent="0.25">
      <c r="A75" s="5" t="s">
        <v>17</v>
      </c>
      <c r="B75" s="6">
        <v>43612</v>
      </c>
      <c r="C75" s="7" t="e">
        <f>MONTH([1]!Table1[[#This Row],[Date]])</f>
        <v>#REF!</v>
      </c>
      <c r="D75" s="8">
        <v>25</v>
      </c>
      <c r="E75" s="8">
        <v>4</v>
      </c>
      <c r="F75" s="8">
        <v>3</v>
      </c>
      <c r="G75" s="8">
        <v>75</v>
      </c>
      <c r="H75" s="9">
        <v>100</v>
      </c>
      <c r="I75" s="10" t="s">
        <v>18</v>
      </c>
      <c r="J75" s="8" t="s">
        <v>14</v>
      </c>
      <c r="K75" s="8" t="s">
        <v>19</v>
      </c>
      <c r="L75" s="8" t="s">
        <v>20</v>
      </c>
    </row>
    <row r="76" spans="1:12" x14ac:dyDescent="0.25">
      <c r="A76" s="5" t="s">
        <v>31</v>
      </c>
      <c r="B76" s="6">
        <v>43619</v>
      </c>
      <c r="C76" s="7" t="e">
        <f>MONTH([1]!Table1[[#This Row],[Date]])</f>
        <v>#REF!</v>
      </c>
      <c r="D76" s="8">
        <v>27</v>
      </c>
      <c r="E76" s="8">
        <v>7</v>
      </c>
      <c r="F76" s="8">
        <v>4</v>
      </c>
      <c r="G76" s="8">
        <v>108</v>
      </c>
      <c r="H76" s="9">
        <v>189</v>
      </c>
      <c r="I76" s="10" t="s">
        <v>32</v>
      </c>
      <c r="J76" s="8" t="s">
        <v>14</v>
      </c>
      <c r="K76" s="8" t="s">
        <v>33</v>
      </c>
      <c r="L76" s="8" t="s">
        <v>34</v>
      </c>
    </row>
    <row r="77" spans="1:12" x14ac:dyDescent="0.25">
      <c r="A77" s="5" t="s">
        <v>24</v>
      </c>
      <c r="B77" s="6">
        <v>43626</v>
      </c>
      <c r="C77" s="7" t="e">
        <f>MONTH([1]!Table1[[#This Row],[Date]])</f>
        <v>#REF!</v>
      </c>
      <c r="D77" s="8">
        <v>29</v>
      </c>
      <c r="E77" s="8">
        <v>6</v>
      </c>
      <c r="F77" s="8">
        <v>5</v>
      </c>
      <c r="G77" s="8">
        <v>145</v>
      </c>
      <c r="H77" s="9">
        <v>174</v>
      </c>
      <c r="I77" s="10" t="s">
        <v>25</v>
      </c>
      <c r="J77" s="8" t="s">
        <v>14</v>
      </c>
      <c r="K77" s="8" t="s">
        <v>19</v>
      </c>
      <c r="L77" s="8" t="s">
        <v>20</v>
      </c>
    </row>
    <row r="78" spans="1:12" x14ac:dyDescent="0.25">
      <c r="A78" s="5" t="s">
        <v>35</v>
      </c>
      <c r="B78" s="6">
        <v>43633</v>
      </c>
      <c r="C78" s="7" t="e">
        <f>MONTH([1]!Table1[[#This Row],[Date]])</f>
        <v>#REF!</v>
      </c>
      <c r="D78" s="8">
        <v>31</v>
      </c>
      <c r="E78" s="8">
        <v>7</v>
      </c>
      <c r="F78" s="8">
        <v>7</v>
      </c>
      <c r="G78" s="8">
        <v>217</v>
      </c>
      <c r="H78" s="9">
        <v>217</v>
      </c>
      <c r="I78" s="10" t="s">
        <v>36</v>
      </c>
      <c r="J78" s="8" t="s">
        <v>23</v>
      </c>
      <c r="K78" s="8" t="s">
        <v>33</v>
      </c>
      <c r="L78" s="8" t="s">
        <v>34</v>
      </c>
    </row>
    <row r="79" spans="1:12" x14ac:dyDescent="0.25">
      <c r="A79" s="5" t="s">
        <v>37</v>
      </c>
      <c r="B79" s="6">
        <v>43640</v>
      </c>
      <c r="C79" s="7" t="e">
        <f>MONTH([1]!Table1[[#This Row],[Date]])</f>
        <v>#REF!</v>
      </c>
      <c r="D79" s="8">
        <v>33</v>
      </c>
      <c r="E79" s="8">
        <v>5</v>
      </c>
      <c r="F79" s="8">
        <v>4</v>
      </c>
      <c r="G79" s="8">
        <v>132</v>
      </c>
      <c r="H79" s="9">
        <v>165</v>
      </c>
      <c r="I79" s="10" t="s">
        <v>38</v>
      </c>
      <c r="J79" s="8" t="s">
        <v>39</v>
      </c>
      <c r="K79" s="8" t="s">
        <v>29</v>
      </c>
      <c r="L79" s="8" t="s">
        <v>30</v>
      </c>
    </row>
    <row r="80" spans="1:12" x14ac:dyDescent="0.25">
      <c r="A80" s="5" t="s">
        <v>12</v>
      </c>
      <c r="B80" s="6">
        <v>43647</v>
      </c>
      <c r="C80" s="7" t="e">
        <f>MONTH([1]!Table1[[#This Row],[Date]])</f>
        <v>#REF!</v>
      </c>
      <c r="D80" s="8">
        <v>35</v>
      </c>
      <c r="E80" s="8">
        <v>5</v>
      </c>
      <c r="F80" s="8">
        <v>2</v>
      </c>
      <c r="G80" s="8">
        <v>70</v>
      </c>
      <c r="H80" s="9">
        <v>175</v>
      </c>
      <c r="I80" s="10" t="s">
        <v>13</v>
      </c>
      <c r="J80" s="8" t="s">
        <v>14</v>
      </c>
      <c r="K80" s="8" t="s">
        <v>15</v>
      </c>
      <c r="L80" s="8" t="s">
        <v>16</v>
      </c>
    </row>
    <row r="81" spans="1:12" x14ac:dyDescent="0.25">
      <c r="A81" s="5" t="s">
        <v>21</v>
      </c>
      <c r="B81" s="6">
        <v>43654</v>
      </c>
      <c r="C81" s="7" t="e">
        <f>MONTH([1]!Table1[[#This Row],[Date]])</f>
        <v>#REF!</v>
      </c>
      <c r="D81" s="8">
        <v>37</v>
      </c>
      <c r="E81" s="8">
        <v>9</v>
      </c>
      <c r="F81" s="8">
        <v>7</v>
      </c>
      <c r="G81" s="8">
        <v>259</v>
      </c>
      <c r="H81" s="9">
        <v>333</v>
      </c>
      <c r="I81" s="10" t="s">
        <v>22</v>
      </c>
      <c r="J81" s="8" t="s">
        <v>14</v>
      </c>
      <c r="K81" s="8" t="s">
        <v>15</v>
      </c>
      <c r="L81" s="8" t="s">
        <v>16</v>
      </c>
    </row>
    <row r="82" spans="1:12" x14ac:dyDescent="0.25">
      <c r="A82" s="5" t="s">
        <v>21</v>
      </c>
      <c r="B82" s="6">
        <v>43661</v>
      </c>
      <c r="C82" s="7" t="e">
        <f>MONTH([1]!Table1[[#This Row],[Date]])</f>
        <v>#REF!</v>
      </c>
      <c r="D82" s="8">
        <v>39</v>
      </c>
      <c r="E82" s="8">
        <v>9</v>
      </c>
      <c r="F82" s="8">
        <v>7</v>
      </c>
      <c r="G82" s="8">
        <v>273</v>
      </c>
      <c r="H82" s="9">
        <v>351</v>
      </c>
      <c r="I82" s="10" t="s">
        <v>22</v>
      </c>
      <c r="J82" s="8" t="s">
        <v>23</v>
      </c>
      <c r="K82" s="8" t="s">
        <v>15</v>
      </c>
      <c r="L82" s="8" t="s">
        <v>16</v>
      </c>
    </row>
    <row r="83" spans="1:12" x14ac:dyDescent="0.25">
      <c r="A83" s="5" t="s">
        <v>17</v>
      </c>
      <c r="B83" s="6">
        <v>43668</v>
      </c>
      <c r="C83" s="7" t="e">
        <f>MONTH([1]!Table1[[#This Row],[Date]])</f>
        <v>#REF!</v>
      </c>
      <c r="D83" s="8">
        <v>41</v>
      </c>
      <c r="E83" s="8">
        <v>4</v>
      </c>
      <c r="F83" s="8">
        <v>3</v>
      </c>
      <c r="G83" s="8">
        <v>123</v>
      </c>
      <c r="H83" s="9">
        <v>164</v>
      </c>
      <c r="I83" s="10" t="s">
        <v>18</v>
      </c>
      <c r="J83" s="8" t="s">
        <v>14</v>
      </c>
      <c r="K83" s="8" t="s">
        <v>19</v>
      </c>
      <c r="L83" s="8" t="s">
        <v>20</v>
      </c>
    </row>
    <row r="84" spans="1:12" x14ac:dyDescent="0.25">
      <c r="A84" s="5" t="s">
        <v>31</v>
      </c>
      <c r="B84" s="6">
        <v>43675</v>
      </c>
      <c r="C84" s="7" t="e">
        <f>MONTH([1]!Table1[[#This Row],[Date]])</f>
        <v>#REF!</v>
      </c>
      <c r="D84" s="8">
        <v>43</v>
      </c>
      <c r="E84" s="8">
        <v>7</v>
      </c>
      <c r="F84" s="8">
        <v>4</v>
      </c>
      <c r="G84" s="8">
        <v>172</v>
      </c>
      <c r="H84" s="9">
        <v>301</v>
      </c>
      <c r="I84" s="10" t="s">
        <v>32</v>
      </c>
      <c r="J84" s="8" t="s">
        <v>14</v>
      </c>
      <c r="K84" s="8" t="s">
        <v>33</v>
      </c>
      <c r="L84" s="8" t="s">
        <v>34</v>
      </c>
    </row>
    <row r="85" spans="1:12" x14ac:dyDescent="0.25">
      <c r="A85" s="5" t="s">
        <v>24</v>
      </c>
      <c r="B85" s="6">
        <v>43682</v>
      </c>
      <c r="C85" s="7" t="e">
        <f>MONTH([1]!Table1[[#This Row],[Date]])</f>
        <v>#REF!</v>
      </c>
      <c r="D85" s="8">
        <v>45</v>
      </c>
      <c r="E85" s="8">
        <v>6</v>
      </c>
      <c r="F85" s="8">
        <v>3</v>
      </c>
      <c r="G85" s="8">
        <v>135</v>
      </c>
      <c r="H85" s="9">
        <v>270</v>
      </c>
      <c r="I85" s="10" t="s">
        <v>25</v>
      </c>
      <c r="J85" s="8" t="s">
        <v>26</v>
      </c>
      <c r="K85" s="8" t="s">
        <v>19</v>
      </c>
      <c r="L85" s="8" t="s">
        <v>20</v>
      </c>
    </row>
    <row r="86" spans="1:12" x14ac:dyDescent="0.25">
      <c r="A86" s="5" t="s">
        <v>35</v>
      </c>
      <c r="B86" s="6">
        <v>43689</v>
      </c>
      <c r="C86" s="7" t="e">
        <f>MONTH([1]!Table1[[#This Row],[Date]])</f>
        <v>#REF!</v>
      </c>
      <c r="D86" s="8">
        <v>6</v>
      </c>
      <c r="E86" s="8">
        <v>7</v>
      </c>
      <c r="F86" s="8">
        <v>6</v>
      </c>
      <c r="G86" s="8">
        <v>36</v>
      </c>
      <c r="H86" s="9">
        <v>42</v>
      </c>
      <c r="I86" s="10" t="s">
        <v>36</v>
      </c>
      <c r="J86" s="8" t="s">
        <v>23</v>
      </c>
      <c r="K86" s="8" t="s">
        <v>33</v>
      </c>
      <c r="L86" s="8" t="s">
        <v>34</v>
      </c>
    </row>
    <row r="87" spans="1:12" x14ac:dyDescent="0.25">
      <c r="A87" s="5" t="s">
        <v>37</v>
      </c>
      <c r="B87" s="6">
        <v>43696</v>
      </c>
      <c r="C87" s="7" t="e">
        <f>MONTH([1]!Table1[[#This Row],[Date]])</f>
        <v>#REF!</v>
      </c>
      <c r="D87" s="8">
        <v>8</v>
      </c>
      <c r="E87" s="8">
        <v>5</v>
      </c>
      <c r="F87" s="8">
        <v>4</v>
      </c>
      <c r="G87" s="8">
        <v>32</v>
      </c>
      <c r="H87" s="9">
        <v>40</v>
      </c>
      <c r="I87" s="10" t="s">
        <v>38</v>
      </c>
      <c r="J87" s="8" t="s">
        <v>39</v>
      </c>
      <c r="K87" s="8" t="s">
        <v>29</v>
      </c>
      <c r="L87" s="8" t="s">
        <v>30</v>
      </c>
    </row>
    <row r="88" spans="1:12" x14ac:dyDescent="0.25">
      <c r="A88" s="5" t="s">
        <v>27</v>
      </c>
      <c r="B88" s="6">
        <v>43703</v>
      </c>
      <c r="C88" s="7" t="e">
        <f>MONTH([1]!Table1[[#This Row],[Date]])</f>
        <v>#REF!</v>
      </c>
      <c r="D88" s="8">
        <v>10</v>
      </c>
      <c r="E88" s="8">
        <v>5</v>
      </c>
      <c r="F88" s="8">
        <v>4</v>
      </c>
      <c r="G88" s="8">
        <v>40</v>
      </c>
      <c r="H88" s="9">
        <v>50</v>
      </c>
      <c r="I88" s="10" t="s">
        <v>28</v>
      </c>
      <c r="J88" s="8" t="s">
        <v>26</v>
      </c>
      <c r="K88" s="8" t="s">
        <v>29</v>
      </c>
      <c r="L88" s="8" t="s">
        <v>30</v>
      </c>
    </row>
    <row r="89" spans="1:12" x14ac:dyDescent="0.25">
      <c r="A89" s="5" t="s">
        <v>12</v>
      </c>
      <c r="B89" s="6">
        <v>43710</v>
      </c>
      <c r="C89" s="7" t="e">
        <f>MONTH([1]!Table1[[#This Row],[Date]])</f>
        <v>#REF!</v>
      </c>
      <c r="D89" s="8">
        <v>12</v>
      </c>
      <c r="E89" s="8">
        <v>5</v>
      </c>
      <c r="F89" s="8">
        <v>2</v>
      </c>
      <c r="G89" s="8">
        <v>24</v>
      </c>
      <c r="H89" s="9">
        <v>60</v>
      </c>
      <c r="I89" s="10" t="s">
        <v>13</v>
      </c>
      <c r="J89" s="8" t="s">
        <v>14</v>
      </c>
      <c r="K89" s="8" t="s">
        <v>15</v>
      </c>
      <c r="L89" s="8" t="s">
        <v>16</v>
      </c>
    </row>
    <row r="90" spans="1:12" x14ac:dyDescent="0.25">
      <c r="A90" s="5" t="s">
        <v>12</v>
      </c>
      <c r="B90" s="6">
        <v>43717</v>
      </c>
      <c r="C90" s="7" t="e">
        <f>MONTH([1]!Table1[[#This Row],[Date]])</f>
        <v>#REF!</v>
      </c>
      <c r="D90" s="8">
        <v>14</v>
      </c>
      <c r="E90" s="8">
        <v>5</v>
      </c>
      <c r="F90" s="8">
        <v>2</v>
      </c>
      <c r="G90" s="8">
        <v>28</v>
      </c>
      <c r="H90" s="9">
        <v>70</v>
      </c>
      <c r="I90" s="10" t="s">
        <v>13</v>
      </c>
      <c r="J90" s="8" t="s">
        <v>14</v>
      </c>
      <c r="K90" s="8" t="s">
        <v>15</v>
      </c>
      <c r="L90" s="8" t="s">
        <v>16</v>
      </c>
    </row>
    <row r="91" spans="1:12" x14ac:dyDescent="0.25">
      <c r="A91" s="5" t="s">
        <v>17</v>
      </c>
      <c r="B91" s="6">
        <v>43724</v>
      </c>
      <c r="C91" s="7" t="e">
        <f>MONTH([1]!Table1[[#This Row],[Date]])</f>
        <v>#REF!</v>
      </c>
      <c r="D91" s="8">
        <v>16</v>
      </c>
      <c r="E91" s="8">
        <v>4</v>
      </c>
      <c r="F91" s="8">
        <v>3</v>
      </c>
      <c r="G91" s="8">
        <v>48</v>
      </c>
      <c r="H91" s="9">
        <v>64</v>
      </c>
      <c r="I91" s="10" t="s">
        <v>18</v>
      </c>
      <c r="J91" s="8" t="s">
        <v>14</v>
      </c>
      <c r="K91" s="8" t="s">
        <v>19</v>
      </c>
      <c r="L91" s="8" t="s">
        <v>20</v>
      </c>
    </row>
    <row r="92" spans="1:12" x14ac:dyDescent="0.25">
      <c r="A92" s="5" t="s">
        <v>31</v>
      </c>
      <c r="B92" s="6">
        <v>43731</v>
      </c>
      <c r="C92" s="7" t="e">
        <f>MONTH([1]!Table1[[#This Row],[Date]])</f>
        <v>#REF!</v>
      </c>
      <c r="D92" s="8">
        <v>18</v>
      </c>
      <c r="E92" s="8">
        <v>7</v>
      </c>
      <c r="F92" s="8">
        <v>4</v>
      </c>
      <c r="G92" s="8">
        <v>72</v>
      </c>
      <c r="H92" s="9">
        <v>126</v>
      </c>
      <c r="I92" s="10" t="s">
        <v>32</v>
      </c>
      <c r="J92" s="8" t="s">
        <v>14</v>
      </c>
      <c r="K92" s="8" t="s">
        <v>33</v>
      </c>
      <c r="L92" s="8" t="s">
        <v>34</v>
      </c>
    </row>
    <row r="93" spans="1:12" x14ac:dyDescent="0.25">
      <c r="A93" s="5" t="s">
        <v>24</v>
      </c>
      <c r="B93" s="6">
        <v>43738</v>
      </c>
      <c r="C93" s="7" t="e">
        <f>MONTH([1]!Table1[[#This Row],[Date]])</f>
        <v>#REF!</v>
      </c>
      <c r="D93" s="8">
        <v>20</v>
      </c>
      <c r="E93" s="8">
        <v>6</v>
      </c>
      <c r="F93" s="8">
        <v>3</v>
      </c>
      <c r="G93" s="8">
        <v>60</v>
      </c>
      <c r="H93" s="9">
        <v>120</v>
      </c>
      <c r="I93" s="10" t="s">
        <v>25</v>
      </c>
      <c r="J93" s="8" t="s">
        <v>26</v>
      </c>
      <c r="K93" s="8" t="s">
        <v>19</v>
      </c>
      <c r="L93" s="8" t="s">
        <v>20</v>
      </c>
    </row>
    <row r="94" spans="1:12" x14ac:dyDescent="0.25">
      <c r="A94" s="5" t="s">
        <v>35</v>
      </c>
      <c r="B94" s="6">
        <v>43745</v>
      </c>
      <c r="C94" s="7" t="e">
        <f>MONTH([1]!Table1[[#This Row],[Date]])</f>
        <v>#REF!</v>
      </c>
      <c r="D94" s="8">
        <v>22</v>
      </c>
      <c r="E94" s="8">
        <v>7</v>
      </c>
      <c r="F94" s="8">
        <v>6</v>
      </c>
      <c r="G94" s="8">
        <v>132</v>
      </c>
      <c r="H94" s="9">
        <v>154</v>
      </c>
      <c r="I94" s="10" t="s">
        <v>36</v>
      </c>
      <c r="J94" s="8" t="s">
        <v>23</v>
      </c>
      <c r="K94" s="8" t="s">
        <v>33</v>
      </c>
      <c r="L94" s="8" t="s">
        <v>34</v>
      </c>
    </row>
    <row r="95" spans="1:12" x14ac:dyDescent="0.25">
      <c r="A95" s="5" t="s">
        <v>17</v>
      </c>
      <c r="B95" s="6">
        <v>43752</v>
      </c>
      <c r="C95" s="7" t="e">
        <f>MONTH([1]!Table1[[#This Row],[Date]])</f>
        <v>#REF!</v>
      </c>
      <c r="D95" s="8">
        <v>24</v>
      </c>
      <c r="E95" s="8">
        <v>4</v>
      </c>
      <c r="F95" s="8">
        <v>3</v>
      </c>
      <c r="G95" s="8">
        <v>72</v>
      </c>
      <c r="H95" s="9">
        <v>96</v>
      </c>
      <c r="I95" s="10" t="s">
        <v>18</v>
      </c>
      <c r="J95" s="8" t="s">
        <v>14</v>
      </c>
      <c r="K95" s="8" t="s">
        <v>19</v>
      </c>
      <c r="L95" s="8" t="s">
        <v>20</v>
      </c>
    </row>
    <row r="96" spans="1:12" x14ac:dyDescent="0.25">
      <c r="A96" s="5" t="s">
        <v>27</v>
      </c>
      <c r="B96" s="6">
        <v>43759</v>
      </c>
      <c r="C96" s="7" t="e">
        <f>MONTH([1]!Table1[[#This Row],[Date]])</f>
        <v>#REF!</v>
      </c>
      <c r="D96" s="8">
        <v>26</v>
      </c>
      <c r="E96" s="8">
        <v>5</v>
      </c>
      <c r="F96" s="8">
        <v>3</v>
      </c>
      <c r="G96" s="8">
        <v>78</v>
      </c>
      <c r="H96" s="9">
        <v>130</v>
      </c>
      <c r="I96" s="10" t="s">
        <v>28</v>
      </c>
      <c r="J96" s="8" t="s">
        <v>26</v>
      </c>
      <c r="K96" s="8" t="s">
        <v>29</v>
      </c>
      <c r="L96" s="8" t="s">
        <v>30</v>
      </c>
    </row>
    <row r="97" spans="1:12" x14ac:dyDescent="0.25">
      <c r="A97" s="5" t="s">
        <v>21</v>
      </c>
      <c r="B97" s="6">
        <v>43766</v>
      </c>
      <c r="C97" s="7" t="e">
        <f>MONTH([1]!Table1[[#This Row],[Date]])</f>
        <v>#REF!</v>
      </c>
      <c r="D97" s="8">
        <v>28</v>
      </c>
      <c r="E97" s="8">
        <v>9</v>
      </c>
      <c r="F97" s="8">
        <v>6</v>
      </c>
      <c r="G97" s="8">
        <v>168</v>
      </c>
      <c r="H97" s="9">
        <v>252</v>
      </c>
      <c r="I97" s="10" t="s">
        <v>22</v>
      </c>
      <c r="J97" s="8" t="s">
        <v>23</v>
      </c>
      <c r="K97" s="8" t="s">
        <v>15</v>
      </c>
      <c r="L97" s="8" t="s">
        <v>16</v>
      </c>
    </row>
    <row r="98" spans="1:12" x14ac:dyDescent="0.25">
      <c r="A98" s="5" t="s">
        <v>12</v>
      </c>
      <c r="B98" s="6">
        <v>43773</v>
      </c>
      <c r="C98" s="7" t="e">
        <f>MONTH([1]!Table1[[#This Row],[Date]])</f>
        <v>#REF!</v>
      </c>
      <c r="D98" s="8">
        <v>30</v>
      </c>
      <c r="E98" s="8">
        <v>5</v>
      </c>
      <c r="F98" s="8">
        <v>3</v>
      </c>
      <c r="G98" s="8">
        <v>90</v>
      </c>
      <c r="H98" s="9">
        <v>150</v>
      </c>
      <c r="I98" s="10" t="s">
        <v>13</v>
      </c>
      <c r="J98" s="8" t="s">
        <v>14</v>
      </c>
      <c r="K98" s="8" t="s">
        <v>15</v>
      </c>
      <c r="L98" s="8" t="s">
        <v>16</v>
      </c>
    </row>
    <row r="99" spans="1:12" x14ac:dyDescent="0.25">
      <c r="A99" s="5" t="s">
        <v>17</v>
      </c>
      <c r="B99" s="6">
        <v>43780</v>
      </c>
      <c r="C99" s="7" t="e">
        <f>MONTH([1]!Table1[[#This Row],[Date]])</f>
        <v>#REF!</v>
      </c>
      <c r="D99" s="8">
        <v>32</v>
      </c>
      <c r="E99" s="8">
        <v>4</v>
      </c>
      <c r="F99" s="8">
        <v>3</v>
      </c>
      <c r="G99" s="8">
        <v>96</v>
      </c>
      <c r="H99" s="9">
        <v>128</v>
      </c>
      <c r="I99" s="10" t="s">
        <v>18</v>
      </c>
      <c r="J99" s="8" t="s">
        <v>14</v>
      </c>
      <c r="K99" s="8" t="s">
        <v>19</v>
      </c>
      <c r="L99" s="8" t="s">
        <v>20</v>
      </c>
    </row>
    <row r="100" spans="1:12" x14ac:dyDescent="0.25">
      <c r="A100" s="5" t="s">
        <v>31</v>
      </c>
      <c r="B100" s="6">
        <v>43787</v>
      </c>
      <c r="C100" s="7" t="e">
        <f>MONTH([1]!Table1[[#This Row],[Date]])</f>
        <v>#REF!</v>
      </c>
      <c r="D100" s="8">
        <v>34</v>
      </c>
      <c r="E100" s="8">
        <v>7</v>
      </c>
      <c r="F100" s="8">
        <v>3</v>
      </c>
      <c r="G100" s="8">
        <v>102</v>
      </c>
      <c r="H100" s="9">
        <v>238</v>
      </c>
      <c r="I100" s="10" t="s">
        <v>32</v>
      </c>
      <c r="J100" s="8" t="s">
        <v>14</v>
      </c>
      <c r="K100" s="8" t="s">
        <v>33</v>
      </c>
      <c r="L100" s="8" t="s">
        <v>34</v>
      </c>
    </row>
    <row r="101" spans="1:12" x14ac:dyDescent="0.25">
      <c r="A101" s="5" t="s">
        <v>17</v>
      </c>
      <c r="B101" s="6">
        <v>43794</v>
      </c>
      <c r="C101" s="7" t="e">
        <f>MONTH([1]!Table1[[#This Row],[Date]])</f>
        <v>#REF!</v>
      </c>
      <c r="D101" s="8">
        <v>36</v>
      </c>
      <c r="E101" s="8">
        <v>4</v>
      </c>
      <c r="F101" s="8">
        <v>3</v>
      </c>
      <c r="G101" s="8">
        <v>108</v>
      </c>
      <c r="H101" s="9">
        <v>144</v>
      </c>
      <c r="I101" s="10" t="s">
        <v>18</v>
      </c>
      <c r="J101" s="8" t="s">
        <v>14</v>
      </c>
      <c r="K101" s="8" t="s">
        <v>19</v>
      </c>
      <c r="L101" s="8" t="s">
        <v>20</v>
      </c>
    </row>
    <row r="102" spans="1:12" x14ac:dyDescent="0.25">
      <c r="A102" s="5" t="s">
        <v>35</v>
      </c>
      <c r="B102" s="6">
        <v>43801</v>
      </c>
      <c r="C102" s="7" t="e">
        <f>MONTH([1]!Table1[[#This Row],[Date]])</f>
        <v>#REF!</v>
      </c>
      <c r="D102" s="8">
        <v>38</v>
      </c>
      <c r="E102" s="8">
        <v>7</v>
      </c>
      <c r="F102" s="8">
        <v>6</v>
      </c>
      <c r="G102" s="8">
        <v>228</v>
      </c>
      <c r="H102" s="9">
        <v>266</v>
      </c>
      <c r="I102" s="10" t="s">
        <v>36</v>
      </c>
      <c r="J102" s="8" t="s">
        <v>23</v>
      </c>
      <c r="K102" s="8" t="s">
        <v>33</v>
      </c>
      <c r="L102" s="8" t="s">
        <v>34</v>
      </c>
    </row>
    <row r="103" spans="1:12" x14ac:dyDescent="0.25">
      <c r="A103" s="5" t="s">
        <v>37</v>
      </c>
      <c r="B103" s="6">
        <v>43808</v>
      </c>
      <c r="C103" s="7" t="e">
        <f>MONTH([1]!Table1[[#This Row],[Date]])</f>
        <v>#REF!</v>
      </c>
      <c r="D103" s="8">
        <v>40</v>
      </c>
      <c r="E103" s="8">
        <v>5</v>
      </c>
      <c r="F103" s="8">
        <v>4</v>
      </c>
      <c r="G103" s="8">
        <v>160</v>
      </c>
      <c r="H103" s="9">
        <v>200</v>
      </c>
      <c r="I103" s="10" t="s">
        <v>38</v>
      </c>
      <c r="J103" s="8" t="s">
        <v>39</v>
      </c>
      <c r="K103" s="8" t="s">
        <v>29</v>
      </c>
      <c r="L103" s="8" t="s">
        <v>30</v>
      </c>
    </row>
    <row r="104" spans="1:12" x14ac:dyDescent="0.25">
      <c r="A104" s="5" t="s">
        <v>27</v>
      </c>
      <c r="B104" s="6">
        <v>43815</v>
      </c>
      <c r="C104" s="7" t="e">
        <f>MONTH([1]!Table1[[#This Row],[Date]])</f>
        <v>#REF!</v>
      </c>
      <c r="D104" s="8">
        <v>42</v>
      </c>
      <c r="E104" s="8">
        <v>5</v>
      </c>
      <c r="F104" s="8">
        <v>4</v>
      </c>
      <c r="G104" s="8">
        <v>168</v>
      </c>
      <c r="H104" s="9">
        <v>210</v>
      </c>
      <c r="I104" s="10" t="s">
        <v>28</v>
      </c>
      <c r="J104" s="8" t="s">
        <v>26</v>
      </c>
      <c r="K104" s="8" t="s">
        <v>29</v>
      </c>
      <c r="L104" s="8" t="s">
        <v>30</v>
      </c>
    </row>
    <row r="105" spans="1:12" x14ac:dyDescent="0.25">
      <c r="A105" s="5" t="s">
        <v>21</v>
      </c>
      <c r="B105" s="6">
        <v>43822</v>
      </c>
      <c r="C105" s="7" t="e">
        <f>MONTH([1]!Table1[[#This Row],[Date]])</f>
        <v>#REF!</v>
      </c>
      <c r="D105" s="8">
        <v>44</v>
      </c>
      <c r="E105" s="8">
        <v>9</v>
      </c>
      <c r="F105" s="8">
        <v>6</v>
      </c>
      <c r="G105" s="8">
        <v>264</v>
      </c>
      <c r="H105" s="9">
        <v>396</v>
      </c>
      <c r="I105" s="10" t="s">
        <v>22</v>
      </c>
      <c r="J105" s="8" t="s">
        <v>23</v>
      </c>
      <c r="K105" s="8" t="s">
        <v>15</v>
      </c>
      <c r="L105" s="8" t="s">
        <v>16</v>
      </c>
    </row>
    <row r="106" spans="1:12" x14ac:dyDescent="0.25">
      <c r="A106" s="5" t="s">
        <v>12</v>
      </c>
      <c r="B106" s="6">
        <v>43829</v>
      </c>
      <c r="C106" s="7" t="e">
        <f>MONTH([1]!Table1[[#This Row],[Date]])</f>
        <v>#REF!</v>
      </c>
      <c r="D106" s="8">
        <v>46</v>
      </c>
      <c r="E106" s="8">
        <v>5</v>
      </c>
      <c r="F106" s="8">
        <v>2</v>
      </c>
      <c r="G106" s="8">
        <v>92</v>
      </c>
      <c r="H106" s="9">
        <v>230</v>
      </c>
      <c r="I106" s="10" t="s">
        <v>13</v>
      </c>
      <c r="J106" s="8" t="s">
        <v>14</v>
      </c>
      <c r="K106" s="8" t="s">
        <v>15</v>
      </c>
      <c r="L106" s="8" t="s">
        <v>16</v>
      </c>
    </row>
    <row r="107" spans="1:12" x14ac:dyDescent="0.25">
      <c r="A107" s="5" t="s">
        <v>17</v>
      </c>
      <c r="B107" s="6">
        <v>43836</v>
      </c>
      <c r="C107" s="7" t="e">
        <f>MONTH([1]!Table1[[#This Row],[Date]])</f>
        <v>#REF!</v>
      </c>
      <c r="D107" s="8">
        <v>48</v>
      </c>
      <c r="E107" s="8">
        <v>4</v>
      </c>
      <c r="F107" s="8">
        <v>3</v>
      </c>
      <c r="G107" s="8">
        <v>144</v>
      </c>
      <c r="H107" s="9">
        <v>192</v>
      </c>
      <c r="I107" s="10" t="s">
        <v>18</v>
      </c>
      <c r="J107" s="8" t="s">
        <v>14</v>
      </c>
      <c r="K107" s="8" t="s">
        <v>19</v>
      </c>
      <c r="L107" s="8" t="s">
        <v>20</v>
      </c>
    </row>
    <row r="108" spans="1:12" x14ac:dyDescent="0.25">
      <c r="A108" s="5" t="s">
        <v>31</v>
      </c>
      <c r="B108" s="6">
        <v>43843</v>
      </c>
      <c r="C108" s="7" t="e">
        <f>MONTH([1]!Table1[[#This Row],[Date]])</f>
        <v>#REF!</v>
      </c>
      <c r="D108" s="8">
        <v>5</v>
      </c>
      <c r="E108" s="8">
        <v>7</v>
      </c>
      <c r="F108" s="8">
        <v>4</v>
      </c>
      <c r="G108" s="8">
        <v>20</v>
      </c>
      <c r="H108" s="9">
        <v>35</v>
      </c>
      <c r="I108" s="10" t="s">
        <v>32</v>
      </c>
      <c r="J108" s="8" t="s">
        <v>14</v>
      </c>
      <c r="K108" s="8" t="s">
        <v>33</v>
      </c>
      <c r="L108" s="8" t="s">
        <v>34</v>
      </c>
    </row>
    <row r="109" spans="1:12" x14ac:dyDescent="0.25">
      <c r="A109" s="5" t="s">
        <v>24</v>
      </c>
      <c r="B109" s="6">
        <v>43850</v>
      </c>
      <c r="C109" s="7" t="e">
        <f>MONTH([1]!Table1[[#This Row],[Date]])</f>
        <v>#REF!</v>
      </c>
      <c r="D109" s="8">
        <v>7</v>
      </c>
      <c r="E109" s="8">
        <v>6</v>
      </c>
      <c r="F109" s="8">
        <v>3</v>
      </c>
      <c r="G109" s="8">
        <v>21</v>
      </c>
      <c r="H109" s="9">
        <v>42</v>
      </c>
      <c r="I109" s="10" t="s">
        <v>25</v>
      </c>
      <c r="J109" s="8" t="s">
        <v>26</v>
      </c>
      <c r="K109" s="8" t="s">
        <v>19</v>
      </c>
      <c r="L109" s="8" t="s">
        <v>20</v>
      </c>
    </row>
    <row r="110" spans="1:12" x14ac:dyDescent="0.25">
      <c r="A110" s="5" t="s">
        <v>35</v>
      </c>
      <c r="B110" s="6">
        <v>43857</v>
      </c>
      <c r="C110" s="7" t="e">
        <f>MONTH([1]!Table1[[#This Row],[Date]])</f>
        <v>#REF!</v>
      </c>
      <c r="D110" s="8">
        <v>9</v>
      </c>
      <c r="E110" s="8">
        <v>7</v>
      </c>
      <c r="F110" s="8">
        <v>6</v>
      </c>
      <c r="G110" s="8">
        <v>54</v>
      </c>
      <c r="H110" s="9">
        <v>63</v>
      </c>
      <c r="I110" s="10" t="s">
        <v>36</v>
      </c>
      <c r="J110" s="8" t="s">
        <v>23</v>
      </c>
      <c r="K110" s="8" t="s">
        <v>33</v>
      </c>
      <c r="L110" s="8" t="s">
        <v>34</v>
      </c>
    </row>
    <row r="111" spans="1:12" x14ac:dyDescent="0.25">
      <c r="A111" s="5" t="s">
        <v>37</v>
      </c>
      <c r="B111" s="6">
        <v>43864</v>
      </c>
      <c r="C111" s="7" t="e">
        <f>MONTH([1]!Table1[[#This Row],[Date]])</f>
        <v>#REF!</v>
      </c>
      <c r="D111" s="8">
        <v>11</v>
      </c>
      <c r="E111" s="8">
        <v>5</v>
      </c>
      <c r="F111" s="8">
        <v>4</v>
      </c>
      <c r="G111" s="8">
        <v>44</v>
      </c>
      <c r="H111" s="9">
        <v>55</v>
      </c>
      <c r="I111" s="10" t="s">
        <v>38</v>
      </c>
      <c r="J111" s="8" t="s">
        <v>39</v>
      </c>
      <c r="K111" s="8" t="s">
        <v>29</v>
      </c>
      <c r="L111" s="8" t="s">
        <v>30</v>
      </c>
    </row>
    <row r="112" spans="1:12" x14ac:dyDescent="0.25">
      <c r="A112" s="5" t="s">
        <v>31</v>
      </c>
      <c r="B112" s="6">
        <v>43871</v>
      </c>
      <c r="C112" s="7" t="e">
        <f>MONTH([1]!Table1[[#This Row],[Date]])</f>
        <v>#REF!</v>
      </c>
      <c r="D112" s="8">
        <v>13</v>
      </c>
      <c r="E112" s="8">
        <v>7</v>
      </c>
      <c r="F112" s="8">
        <v>4</v>
      </c>
      <c r="G112" s="8">
        <v>52</v>
      </c>
      <c r="H112" s="9">
        <v>91</v>
      </c>
      <c r="I112" s="10" t="s">
        <v>32</v>
      </c>
      <c r="J112" s="8" t="s">
        <v>14</v>
      </c>
      <c r="K112" s="8" t="s">
        <v>33</v>
      </c>
      <c r="L112" s="8" t="s">
        <v>34</v>
      </c>
    </row>
    <row r="113" spans="1:12" x14ac:dyDescent="0.25">
      <c r="A113" s="5" t="s">
        <v>21</v>
      </c>
      <c r="B113" s="6">
        <v>43878</v>
      </c>
      <c r="C113" s="7" t="e">
        <f>MONTH([1]!Table1[[#This Row],[Date]])</f>
        <v>#REF!</v>
      </c>
      <c r="D113" s="8">
        <v>15</v>
      </c>
      <c r="E113" s="8">
        <v>9</v>
      </c>
      <c r="F113" s="8">
        <v>6</v>
      </c>
      <c r="G113" s="8">
        <v>90</v>
      </c>
      <c r="H113" s="9">
        <v>135</v>
      </c>
      <c r="I113" s="10" t="s">
        <v>22</v>
      </c>
      <c r="J113" s="8" t="s">
        <v>23</v>
      </c>
      <c r="K113" s="8" t="s">
        <v>15</v>
      </c>
      <c r="L113" s="8" t="s">
        <v>16</v>
      </c>
    </row>
    <row r="114" spans="1:12" x14ac:dyDescent="0.25">
      <c r="A114" s="5" t="s">
        <v>12</v>
      </c>
      <c r="B114" s="6">
        <v>43885</v>
      </c>
      <c r="C114" s="7" t="e">
        <f>MONTH([1]!Table1[[#This Row],[Date]])</f>
        <v>#REF!</v>
      </c>
      <c r="D114" s="8">
        <v>17</v>
      </c>
      <c r="E114" s="8">
        <v>5</v>
      </c>
      <c r="F114" s="8">
        <v>3</v>
      </c>
      <c r="G114" s="8">
        <v>51</v>
      </c>
      <c r="H114" s="9">
        <v>85</v>
      </c>
      <c r="I114" s="10" t="s">
        <v>13</v>
      </c>
      <c r="J114" s="8" t="s">
        <v>14</v>
      </c>
      <c r="K114" s="8" t="s">
        <v>15</v>
      </c>
      <c r="L114" s="8" t="s">
        <v>16</v>
      </c>
    </row>
    <row r="115" spans="1:12" x14ac:dyDescent="0.25">
      <c r="A115" s="5" t="s">
        <v>17</v>
      </c>
      <c r="B115" s="6">
        <v>43892</v>
      </c>
      <c r="C115" s="7" t="e">
        <f>MONTH([1]!Table1[[#This Row],[Date]])</f>
        <v>#REF!</v>
      </c>
      <c r="D115" s="8">
        <v>19</v>
      </c>
      <c r="E115" s="8">
        <v>4</v>
      </c>
      <c r="F115" s="8">
        <v>3</v>
      </c>
      <c r="G115" s="8">
        <v>57</v>
      </c>
      <c r="H115" s="9">
        <v>76</v>
      </c>
      <c r="I115" s="10" t="s">
        <v>18</v>
      </c>
      <c r="J115" s="8" t="s">
        <v>14</v>
      </c>
      <c r="K115" s="8" t="s">
        <v>19</v>
      </c>
      <c r="L115" s="8" t="s">
        <v>20</v>
      </c>
    </row>
    <row r="116" spans="1:12" x14ac:dyDescent="0.25">
      <c r="A116" s="5" t="s">
        <v>31</v>
      </c>
      <c r="B116" s="6">
        <v>43899</v>
      </c>
      <c r="C116" s="7" t="e">
        <f>MONTH([1]!Table1[[#This Row],[Date]])</f>
        <v>#REF!</v>
      </c>
      <c r="D116" s="8">
        <v>21</v>
      </c>
      <c r="E116" s="8">
        <v>7</v>
      </c>
      <c r="F116" s="8">
        <v>4</v>
      </c>
      <c r="G116" s="8">
        <v>84</v>
      </c>
      <c r="H116" s="9">
        <v>147</v>
      </c>
      <c r="I116" s="10" t="s">
        <v>32</v>
      </c>
      <c r="J116" s="8" t="s">
        <v>14</v>
      </c>
      <c r="K116" s="8" t="s">
        <v>33</v>
      </c>
      <c r="L116" s="8" t="s">
        <v>34</v>
      </c>
    </row>
    <row r="117" spans="1:12" x14ac:dyDescent="0.25">
      <c r="A117" s="5" t="s">
        <v>31</v>
      </c>
      <c r="B117" s="6">
        <v>43906</v>
      </c>
      <c r="C117" s="7" t="e">
        <f>MONTH([1]!Table1[[#This Row],[Date]])</f>
        <v>#REF!</v>
      </c>
      <c r="D117" s="8">
        <v>23</v>
      </c>
      <c r="E117" s="8">
        <v>7</v>
      </c>
      <c r="F117" s="8">
        <v>4</v>
      </c>
      <c r="G117" s="8">
        <v>92</v>
      </c>
      <c r="H117" s="9">
        <v>161</v>
      </c>
      <c r="I117" s="10" t="s">
        <v>32</v>
      </c>
      <c r="J117" s="8" t="s">
        <v>14</v>
      </c>
      <c r="K117" s="8" t="s">
        <v>33</v>
      </c>
      <c r="L117" s="8" t="s">
        <v>34</v>
      </c>
    </row>
    <row r="118" spans="1:12" x14ac:dyDescent="0.25">
      <c r="A118" s="5" t="s">
        <v>35</v>
      </c>
      <c r="B118" s="6">
        <v>43913</v>
      </c>
      <c r="C118" s="7" t="e">
        <f>MONTH([1]!Table1[[#This Row],[Date]])</f>
        <v>#REF!</v>
      </c>
      <c r="D118" s="8">
        <v>25</v>
      </c>
      <c r="E118" s="8">
        <v>7</v>
      </c>
      <c r="F118" s="8">
        <v>6</v>
      </c>
      <c r="G118" s="8">
        <v>150</v>
      </c>
      <c r="H118" s="9">
        <v>175</v>
      </c>
      <c r="I118" s="10" t="s">
        <v>36</v>
      </c>
      <c r="J118" s="8" t="s">
        <v>23</v>
      </c>
      <c r="K118" s="8" t="s">
        <v>33</v>
      </c>
      <c r="L118" s="8" t="s">
        <v>34</v>
      </c>
    </row>
    <row r="119" spans="1:12" x14ac:dyDescent="0.25">
      <c r="A119" s="5" t="s">
        <v>37</v>
      </c>
      <c r="B119" s="6">
        <v>43920</v>
      </c>
      <c r="C119" s="7" t="e">
        <f>MONTH([1]!Table1[[#This Row],[Date]])</f>
        <v>#REF!</v>
      </c>
      <c r="D119" s="8">
        <v>27</v>
      </c>
      <c r="E119" s="8">
        <v>5</v>
      </c>
      <c r="F119" s="8">
        <v>4</v>
      </c>
      <c r="G119" s="8">
        <v>108</v>
      </c>
      <c r="H119" s="9">
        <v>135</v>
      </c>
      <c r="I119" s="10" t="s">
        <v>38</v>
      </c>
      <c r="J119" s="8" t="s">
        <v>39</v>
      </c>
      <c r="K119" s="8" t="s">
        <v>29</v>
      </c>
      <c r="L119" s="8" t="s">
        <v>30</v>
      </c>
    </row>
    <row r="120" spans="1:12" x14ac:dyDescent="0.25">
      <c r="A120" s="5" t="s">
        <v>27</v>
      </c>
      <c r="B120" s="6">
        <v>43927</v>
      </c>
      <c r="C120" s="7" t="e">
        <f>MONTH([1]!Table1[[#This Row],[Date]])</f>
        <v>#REF!</v>
      </c>
      <c r="D120" s="8">
        <v>29</v>
      </c>
      <c r="E120" s="8">
        <v>5</v>
      </c>
      <c r="F120" s="8">
        <v>2</v>
      </c>
      <c r="G120" s="8">
        <v>58</v>
      </c>
      <c r="H120" s="9">
        <v>145</v>
      </c>
      <c r="I120" s="10" t="s">
        <v>28</v>
      </c>
      <c r="J120" s="8" t="s">
        <v>26</v>
      </c>
      <c r="K120" s="8" t="s">
        <v>29</v>
      </c>
      <c r="L120" s="8" t="s">
        <v>30</v>
      </c>
    </row>
    <row r="121" spans="1:12" x14ac:dyDescent="0.25">
      <c r="A121" s="5" t="s">
        <v>21</v>
      </c>
      <c r="B121" s="6">
        <v>43934</v>
      </c>
      <c r="C121" s="7" t="e">
        <f>MONTH([1]!Table1[[#This Row],[Date]])</f>
        <v>#REF!</v>
      </c>
      <c r="D121" s="8">
        <v>31</v>
      </c>
      <c r="E121" s="8">
        <v>9</v>
      </c>
      <c r="F121" s="8">
        <v>6</v>
      </c>
      <c r="G121" s="8">
        <v>186</v>
      </c>
      <c r="H121" s="9">
        <v>279</v>
      </c>
      <c r="I121" s="10" t="s">
        <v>22</v>
      </c>
      <c r="J121" s="8" t="s">
        <v>23</v>
      </c>
      <c r="K121" s="8" t="s">
        <v>15</v>
      </c>
      <c r="L121" s="8" t="s">
        <v>16</v>
      </c>
    </row>
    <row r="122" spans="1:12" x14ac:dyDescent="0.25">
      <c r="A122" s="5" t="s">
        <v>12</v>
      </c>
      <c r="B122" s="6">
        <v>43941</v>
      </c>
      <c r="C122" s="7" t="e">
        <f>MONTH([1]!Table1[[#This Row],[Date]])</f>
        <v>#REF!</v>
      </c>
      <c r="D122" s="8">
        <v>33</v>
      </c>
      <c r="E122" s="8">
        <v>5</v>
      </c>
      <c r="F122" s="8">
        <v>3</v>
      </c>
      <c r="G122" s="8">
        <v>99</v>
      </c>
      <c r="H122" s="9">
        <v>165</v>
      </c>
      <c r="I122" s="10" t="s">
        <v>13</v>
      </c>
      <c r="J122" s="8" t="s">
        <v>14</v>
      </c>
      <c r="K122" s="8" t="s">
        <v>15</v>
      </c>
      <c r="L122" s="8" t="s">
        <v>16</v>
      </c>
    </row>
    <row r="123" spans="1:12" x14ac:dyDescent="0.25">
      <c r="A123" s="5" t="s">
        <v>31</v>
      </c>
      <c r="B123" s="6">
        <v>43948</v>
      </c>
      <c r="C123" s="7" t="e">
        <f>MONTH([1]!Table1[[#This Row],[Date]])</f>
        <v>#REF!</v>
      </c>
      <c r="D123" s="8">
        <v>35</v>
      </c>
      <c r="E123" s="8">
        <v>7</v>
      </c>
      <c r="F123" s="8">
        <v>4</v>
      </c>
      <c r="G123" s="8">
        <v>140</v>
      </c>
      <c r="H123" s="9">
        <v>245</v>
      </c>
      <c r="I123" s="10" t="s">
        <v>32</v>
      </c>
      <c r="J123" s="8" t="s">
        <v>14</v>
      </c>
      <c r="K123" s="8" t="s">
        <v>33</v>
      </c>
      <c r="L123" s="8" t="s">
        <v>34</v>
      </c>
    </row>
    <row r="124" spans="1:12" x14ac:dyDescent="0.25">
      <c r="A124" s="5" t="s">
        <v>31</v>
      </c>
      <c r="B124" s="6">
        <v>43955</v>
      </c>
      <c r="C124" s="7" t="e">
        <f>MONTH([1]!Table1[[#This Row],[Date]])</f>
        <v>#REF!</v>
      </c>
      <c r="D124" s="8">
        <v>37</v>
      </c>
      <c r="E124" s="8">
        <v>7</v>
      </c>
      <c r="F124" s="8">
        <v>4</v>
      </c>
      <c r="G124" s="8">
        <v>148</v>
      </c>
      <c r="H124" s="9">
        <v>259</v>
      </c>
      <c r="I124" s="10" t="s">
        <v>32</v>
      </c>
      <c r="J124" s="8" t="s">
        <v>14</v>
      </c>
      <c r="K124" s="8" t="s">
        <v>33</v>
      </c>
      <c r="L124" s="8" t="s">
        <v>34</v>
      </c>
    </row>
    <row r="125" spans="1:12" x14ac:dyDescent="0.25">
      <c r="A125" s="5" t="s">
        <v>24</v>
      </c>
      <c r="B125" s="6">
        <v>43962</v>
      </c>
      <c r="C125" s="7" t="e">
        <f>MONTH([1]!Table1[[#This Row],[Date]])</f>
        <v>#REF!</v>
      </c>
      <c r="D125" s="8">
        <v>39</v>
      </c>
      <c r="E125" s="8">
        <v>6</v>
      </c>
      <c r="F125" s="8">
        <v>3</v>
      </c>
      <c r="G125" s="8">
        <v>117</v>
      </c>
      <c r="H125" s="9">
        <v>234</v>
      </c>
      <c r="I125" s="10" t="s">
        <v>25</v>
      </c>
      <c r="J125" s="8" t="s">
        <v>26</v>
      </c>
      <c r="K125" s="8" t="s">
        <v>19</v>
      </c>
      <c r="L125" s="8" t="s">
        <v>20</v>
      </c>
    </row>
    <row r="126" spans="1:12" x14ac:dyDescent="0.25">
      <c r="A126" s="5" t="s">
        <v>35</v>
      </c>
      <c r="B126" s="6">
        <v>43969</v>
      </c>
      <c r="C126" s="7" t="e">
        <f>MONTH([1]!Table1[[#This Row],[Date]])</f>
        <v>#REF!</v>
      </c>
      <c r="D126" s="8">
        <v>37</v>
      </c>
      <c r="E126" s="8">
        <v>7</v>
      </c>
      <c r="F126" s="8">
        <v>6</v>
      </c>
      <c r="G126" s="8">
        <v>222</v>
      </c>
      <c r="H126" s="9">
        <v>259</v>
      </c>
      <c r="I126" s="10" t="s">
        <v>36</v>
      </c>
      <c r="J126" s="8" t="s">
        <v>23</v>
      </c>
      <c r="K126" s="8" t="s">
        <v>33</v>
      </c>
      <c r="L126" s="8" t="s">
        <v>34</v>
      </c>
    </row>
    <row r="127" spans="1:12" x14ac:dyDescent="0.25">
      <c r="A127" s="5" t="s">
        <v>37</v>
      </c>
      <c r="B127" s="6">
        <v>43976</v>
      </c>
      <c r="C127" s="7" t="e">
        <f>MONTH([1]!Table1[[#This Row],[Date]])</f>
        <v>#REF!</v>
      </c>
      <c r="D127" s="8">
        <v>35</v>
      </c>
      <c r="E127" s="8">
        <v>5</v>
      </c>
      <c r="F127" s="8">
        <v>4</v>
      </c>
      <c r="G127" s="8">
        <v>140</v>
      </c>
      <c r="H127" s="9">
        <v>175</v>
      </c>
      <c r="I127" s="10" t="s">
        <v>38</v>
      </c>
      <c r="J127" s="8" t="s">
        <v>39</v>
      </c>
      <c r="K127" s="8" t="s">
        <v>29</v>
      </c>
      <c r="L127" s="8" t="s">
        <v>30</v>
      </c>
    </row>
    <row r="128" spans="1:12" x14ac:dyDescent="0.25">
      <c r="A128" s="5" t="s">
        <v>27</v>
      </c>
      <c r="B128" s="6">
        <v>43983</v>
      </c>
      <c r="C128" s="7" t="e">
        <f>MONTH([1]!Table1[[#This Row],[Date]])</f>
        <v>#REF!</v>
      </c>
      <c r="D128" s="8">
        <v>33</v>
      </c>
      <c r="E128" s="8">
        <v>5</v>
      </c>
      <c r="F128" s="8">
        <v>2</v>
      </c>
      <c r="G128" s="8">
        <v>66</v>
      </c>
      <c r="H128" s="9">
        <v>165</v>
      </c>
      <c r="I128" s="10" t="s">
        <v>28</v>
      </c>
      <c r="J128" s="8" t="s">
        <v>26</v>
      </c>
      <c r="K128" s="8" t="s">
        <v>29</v>
      </c>
      <c r="L128" s="8" t="s">
        <v>30</v>
      </c>
    </row>
    <row r="129" spans="1:12" x14ac:dyDescent="0.25">
      <c r="A129" s="5" t="s">
        <v>24</v>
      </c>
      <c r="B129" s="6">
        <v>43990</v>
      </c>
      <c r="C129" s="7" t="e">
        <f>MONTH([1]!Table1[[#This Row],[Date]])</f>
        <v>#REF!</v>
      </c>
      <c r="D129" s="8">
        <v>31</v>
      </c>
      <c r="E129" s="8">
        <v>6</v>
      </c>
      <c r="F129" s="8">
        <v>3</v>
      </c>
      <c r="G129" s="8">
        <v>93</v>
      </c>
      <c r="H129" s="9">
        <v>186</v>
      </c>
      <c r="I129" s="10" t="s">
        <v>25</v>
      </c>
      <c r="J129" s="8" t="s">
        <v>26</v>
      </c>
      <c r="K129" s="8" t="s">
        <v>19</v>
      </c>
      <c r="L129" s="8" t="s">
        <v>20</v>
      </c>
    </row>
    <row r="130" spans="1:12" x14ac:dyDescent="0.25">
      <c r="A130" s="5" t="s">
        <v>12</v>
      </c>
      <c r="B130" s="6">
        <v>43997</v>
      </c>
      <c r="C130" s="7" t="e">
        <f>MONTH([1]!Table1[[#This Row],[Date]])</f>
        <v>#REF!</v>
      </c>
      <c r="D130" s="8">
        <v>29</v>
      </c>
      <c r="E130" s="8">
        <v>5</v>
      </c>
      <c r="F130" s="8">
        <v>3</v>
      </c>
      <c r="G130" s="8">
        <v>87</v>
      </c>
      <c r="H130" s="9">
        <v>145</v>
      </c>
      <c r="I130" s="10" t="s">
        <v>13</v>
      </c>
      <c r="J130" s="8" t="s">
        <v>14</v>
      </c>
      <c r="K130" s="8" t="s">
        <v>15</v>
      </c>
      <c r="L130" s="8" t="s">
        <v>16</v>
      </c>
    </row>
    <row r="131" spans="1:12" x14ac:dyDescent="0.25">
      <c r="A131" s="5" t="s">
        <v>17</v>
      </c>
      <c r="B131" s="6">
        <v>44004</v>
      </c>
      <c r="C131" s="7" t="e">
        <f>MONTH([1]!Table1[[#This Row],[Date]])</f>
        <v>#REF!</v>
      </c>
      <c r="D131" s="8">
        <v>27</v>
      </c>
      <c r="E131" s="8">
        <v>4</v>
      </c>
      <c r="F131" s="8">
        <v>3</v>
      </c>
      <c r="G131" s="8">
        <v>81</v>
      </c>
      <c r="H131" s="9">
        <v>108</v>
      </c>
      <c r="I131" s="10" t="s">
        <v>18</v>
      </c>
      <c r="J131" s="8" t="s">
        <v>14</v>
      </c>
      <c r="K131" s="8" t="s">
        <v>19</v>
      </c>
      <c r="L131" s="8" t="s">
        <v>20</v>
      </c>
    </row>
    <row r="132" spans="1:12" x14ac:dyDescent="0.25">
      <c r="A132" s="5" t="s">
        <v>31</v>
      </c>
      <c r="B132" s="6">
        <v>44011</v>
      </c>
      <c r="C132" s="7" t="e">
        <f>MONTH([1]!Table1[[#This Row],[Date]])</f>
        <v>#REF!</v>
      </c>
      <c r="D132" s="8">
        <v>25</v>
      </c>
      <c r="E132" s="8">
        <v>7</v>
      </c>
      <c r="F132" s="8">
        <v>4</v>
      </c>
      <c r="G132" s="8">
        <v>100</v>
      </c>
      <c r="H132" s="9">
        <v>175</v>
      </c>
      <c r="I132" s="10" t="s">
        <v>32</v>
      </c>
      <c r="J132" s="8" t="s">
        <v>14</v>
      </c>
      <c r="K132" s="8" t="s">
        <v>33</v>
      </c>
      <c r="L132" s="8" t="s">
        <v>34</v>
      </c>
    </row>
    <row r="133" spans="1:12" x14ac:dyDescent="0.25">
      <c r="A133" s="5" t="s">
        <v>24</v>
      </c>
      <c r="B133" s="6">
        <v>44018</v>
      </c>
      <c r="C133" s="7" t="e">
        <f>MONTH([1]!Table1[[#This Row],[Date]])</f>
        <v>#REF!</v>
      </c>
      <c r="D133" s="8">
        <v>23</v>
      </c>
      <c r="E133" s="8">
        <v>6</v>
      </c>
      <c r="F133" s="8">
        <v>3</v>
      </c>
      <c r="G133" s="8">
        <v>69</v>
      </c>
      <c r="H133" s="9">
        <v>138</v>
      </c>
      <c r="I133" s="10" t="s">
        <v>25</v>
      </c>
      <c r="J133" s="8" t="s">
        <v>26</v>
      </c>
      <c r="K133" s="8" t="s">
        <v>19</v>
      </c>
      <c r="L133" s="8" t="s">
        <v>20</v>
      </c>
    </row>
    <row r="134" spans="1:12" x14ac:dyDescent="0.25">
      <c r="A134" s="5" t="s">
        <v>24</v>
      </c>
      <c r="B134" s="6">
        <v>44025</v>
      </c>
      <c r="C134" s="7" t="e">
        <f>MONTH([1]!Table1[[#This Row],[Date]])</f>
        <v>#REF!</v>
      </c>
      <c r="D134" s="8">
        <v>21</v>
      </c>
      <c r="E134" s="8">
        <v>6</v>
      </c>
      <c r="F134" s="8">
        <v>3</v>
      </c>
      <c r="G134" s="8">
        <v>63</v>
      </c>
      <c r="H134" s="9">
        <v>126</v>
      </c>
      <c r="I134" s="10" t="s">
        <v>25</v>
      </c>
      <c r="J134" s="8" t="s">
        <v>26</v>
      </c>
      <c r="K134" s="8" t="s">
        <v>19</v>
      </c>
      <c r="L134" s="8" t="s">
        <v>20</v>
      </c>
    </row>
    <row r="135" spans="1:12" x14ac:dyDescent="0.25">
      <c r="A135" s="5" t="s">
        <v>37</v>
      </c>
      <c r="B135" s="6">
        <v>44032</v>
      </c>
      <c r="C135" s="7" t="e">
        <f>MONTH([1]!Table1[[#This Row],[Date]])</f>
        <v>#REF!</v>
      </c>
      <c r="D135" s="8">
        <v>19</v>
      </c>
      <c r="E135" s="8">
        <v>5</v>
      </c>
      <c r="F135" s="8">
        <v>4</v>
      </c>
      <c r="G135" s="8">
        <v>76</v>
      </c>
      <c r="H135" s="9">
        <v>95</v>
      </c>
      <c r="I135" s="10" t="s">
        <v>38</v>
      </c>
      <c r="J135" s="8" t="s">
        <v>39</v>
      </c>
      <c r="K135" s="8" t="s">
        <v>29</v>
      </c>
      <c r="L135" s="8" t="s">
        <v>30</v>
      </c>
    </row>
    <row r="136" spans="1:12" x14ac:dyDescent="0.25">
      <c r="A136" s="5" t="s">
        <v>27</v>
      </c>
      <c r="B136" s="6">
        <v>44039</v>
      </c>
      <c r="C136" s="7" t="e">
        <f>MONTH([1]!Table1[[#This Row],[Date]])</f>
        <v>#REF!</v>
      </c>
      <c r="D136" s="8">
        <v>17</v>
      </c>
      <c r="E136" s="8">
        <v>5</v>
      </c>
      <c r="F136" s="8">
        <v>2</v>
      </c>
      <c r="G136" s="8">
        <v>34</v>
      </c>
      <c r="H136" s="9">
        <v>85</v>
      </c>
      <c r="I136" s="10" t="s">
        <v>28</v>
      </c>
      <c r="J136" s="8" t="s">
        <v>26</v>
      </c>
      <c r="K136" s="8" t="s">
        <v>29</v>
      </c>
      <c r="L136" s="8" t="s">
        <v>30</v>
      </c>
    </row>
    <row r="137" spans="1:12" x14ac:dyDescent="0.25">
      <c r="A137" s="5" t="s">
        <v>21</v>
      </c>
      <c r="B137" s="6">
        <v>44046</v>
      </c>
      <c r="C137" s="7" t="e">
        <f>MONTH([1]!Table1[[#This Row],[Date]])</f>
        <v>#REF!</v>
      </c>
      <c r="D137" s="8">
        <v>15</v>
      </c>
      <c r="E137" s="8">
        <v>9</v>
      </c>
      <c r="F137" s="8">
        <v>6</v>
      </c>
      <c r="G137" s="8">
        <v>90</v>
      </c>
      <c r="H137" s="9">
        <v>135</v>
      </c>
      <c r="I137" s="10" t="s">
        <v>22</v>
      </c>
      <c r="J137" s="8" t="s">
        <v>23</v>
      </c>
      <c r="K137" s="8" t="s">
        <v>15</v>
      </c>
      <c r="L137" s="8" t="s">
        <v>16</v>
      </c>
    </row>
    <row r="138" spans="1:12" x14ac:dyDescent="0.25">
      <c r="A138" s="5" t="s">
        <v>12</v>
      </c>
      <c r="B138" s="6">
        <v>44053</v>
      </c>
      <c r="C138" s="7" t="e">
        <f>MONTH([1]!Table1[[#This Row],[Date]])</f>
        <v>#REF!</v>
      </c>
      <c r="D138" s="8">
        <v>13</v>
      </c>
      <c r="E138" s="8">
        <v>5</v>
      </c>
      <c r="F138" s="8">
        <v>3</v>
      </c>
      <c r="G138" s="8">
        <v>39</v>
      </c>
      <c r="H138" s="9">
        <v>65</v>
      </c>
      <c r="I138" s="10" t="s">
        <v>13</v>
      </c>
      <c r="J138" s="8" t="s">
        <v>14</v>
      </c>
      <c r="K138" s="8" t="s">
        <v>15</v>
      </c>
      <c r="L138" s="8" t="s">
        <v>16</v>
      </c>
    </row>
    <row r="139" spans="1:12" x14ac:dyDescent="0.25">
      <c r="A139" s="5" t="s">
        <v>17</v>
      </c>
      <c r="B139" s="6">
        <v>44060</v>
      </c>
      <c r="C139" s="7" t="e">
        <f>MONTH([1]!Table1[[#This Row],[Date]])</f>
        <v>#REF!</v>
      </c>
      <c r="D139" s="8">
        <v>11</v>
      </c>
      <c r="E139" s="8">
        <v>4</v>
      </c>
      <c r="F139" s="8">
        <v>3</v>
      </c>
      <c r="G139" s="8">
        <v>33</v>
      </c>
      <c r="H139" s="9">
        <v>44</v>
      </c>
      <c r="I139" s="10" t="s">
        <v>18</v>
      </c>
      <c r="J139" s="8" t="s">
        <v>14</v>
      </c>
      <c r="K139" s="8" t="s">
        <v>19</v>
      </c>
      <c r="L139" s="8" t="s">
        <v>20</v>
      </c>
    </row>
    <row r="140" spans="1:12" x14ac:dyDescent="0.25">
      <c r="A140" s="5" t="s">
        <v>24</v>
      </c>
      <c r="B140" s="6">
        <v>44067</v>
      </c>
      <c r="C140" s="7" t="e">
        <f>MONTH([1]!Table1[[#This Row],[Date]])</f>
        <v>#REF!</v>
      </c>
      <c r="D140" s="8">
        <v>9</v>
      </c>
      <c r="E140" s="8">
        <v>6</v>
      </c>
      <c r="F140" s="8">
        <v>3</v>
      </c>
      <c r="G140" s="8">
        <v>27</v>
      </c>
      <c r="H140" s="9">
        <v>54</v>
      </c>
      <c r="I140" s="10" t="s">
        <v>25</v>
      </c>
      <c r="J140" s="8" t="s">
        <v>26</v>
      </c>
      <c r="K140" s="8" t="s">
        <v>19</v>
      </c>
      <c r="L140" s="8" t="s">
        <v>20</v>
      </c>
    </row>
    <row r="141" spans="1:12" x14ac:dyDescent="0.25">
      <c r="A141" s="5" t="s">
        <v>24</v>
      </c>
      <c r="B141" s="6">
        <v>44074</v>
      </c>
      <c r="C141" s="7" t="e">
        <f>MONTH([1]!Table1[[#This Row],[Date]])</f>
        <v>#REF!</v>
      </c>
      <c r="D141" s="8">
        <v>7</v>
      </c>
      <c r="E141" s="8">
        <v>6</v>
      </c>
      <c r="F141" s="8">
        <v>3</v>
      </c>
      <c r="G141" s="8">
        <v>21</v>
      </c>
      <c r="H141" s="9">
        <v>42</v>
      </c>
      <c r="I141" s="10" t="s">
        <v>25</v>
      </c>
      <c r="J141" s="8" t="s">
        <v>26</v>
      </c>
      <c r="K141" s="8" t="s">
        <v>19</v>
      </c>
      <c r="L141" s="8" t="s">
        <v>20</v>
      </c>
    </row>
    <row r="142" spans="1:12" x14ac:dyDescent="0.25">
      <c r="A142" s="5" t="s">
        <v>35</v>
      </c>
      <c r="B142" s="6">
        <v>44081</v>
      </c>
      <c r="C142" s="7" t="e">
        <f>MONTH([1]!Table1[[#This Row],[Date]])</f>
        <v>#REF!</v>
      </c>
      <c r="D142" s="8">
        <v>3</v>
      </c>
      <c r="E142" s="8">
        <v>7</v>
      </c>
      <c r="F142" s="8">
        <v>6</v>
      </c>
      <c r="G142" s="8">
        <v>18</v>
      </c>
      <c r="H142" s="9">
        <v>21</v>
      </c>
      <c r="I142" s="10" t="s">
        <v>36</v>
      </c>
      <c r="J142" s="8" t="s">
        <v>23</v>
      </c>
      <c r="K142" s="8" t="s">
        <v>33</v>
      </c>
      <c r="L142" s="8" t="s">
        <v>34</v>
      </c>
    </row>
    <row r="143" spans="1:12" x14ac:dyDescent="0.25">
      <c r="A143" s="5" t="s">
        <v>37</v>
      </c>
      <c r="B143" s="6">
        <v>44088</v>
      </c>
      <c r="C143" s="7" t="e">
        <f>MONTH([1]!Table1[[#This Row],[Date]])</f>
        <v>#REF!</v>
      </c>
      <c r="D143" s="8">
        <v>3</v>
      </c>
      <c r="E143" s="8">
        <v>5</v>
      </c>
      <c r="F143" s="8">
        <v>4</v>
      </c>
      <c r="G143" s="8">
        <v>12</v>
      </c>
      <c r="H143" s="9">
        <v>15</v>
      </c>
      <c r="I143" s="10" t="s">
        <v>38</v>
      </c>
      <c r="J143" s="8" t="s">
        <v>39</v>
      </c>
      <c r="K143" s="8" t="s">
        <v>29</v>
      </c>
      <c r="L143" s="8" t="s">
        <v>30</v>
      </c>
    </row>
    <row r="144" spans="1:12" x14ac:dyDescent="0.25">
      <c r="A144" s="5" t="s">
        <v>27</v>
      </c>
      <c r="B144" s="6">
        <v>44095</v>
      </c>
      <c r="C144" s="7" t="e">
        <f>MONTH([1]!Table1[[#This Row],[Date]])</f>
        <v>#REF!</v>
      </c>
      <c r="D144" s="8">
        <v>3</v>
      </c>
      <c r="E144" s="8">
        <v>5</v>
      </c>
      <c r="F144" s="8">
        <v>2</v>
      </c>
      <c r="G144" s="8">
        <v>6</v>
      </c>
      <c r="H144" s="9">
        <v>15</v>
      </c>
      <c r="I144" s="10" t="s">
        <v>28</v>
      </c>
      <c r="J144" s="8" t="s">
        <v>26</v>
      </c>
      <c r="K144" s="8" t="s">
        <v>29</v>
      </c>
      <c r="L144" s="8" t="s">
        <v>30</v>
      </c>
    </row>
    <row r="145" spans="1:12" x14ac:dyDescent="0.25">
      <c r="A145" s="5" t="s">
        <v>24</v>
      </c>
      <c r="B145" s="6">
        <v>44102</v>
      </c>
      <c r="C145" s="7" t="e">
        <f>MONTH([1]!Table1[[#This Row],[Date]])</f>
        <v>#REF!</v>
      </c>
      <c r="D145" s="8">
        <v>3</v>
      </c>
      <c r="E145" s="8">
        <v>6</v>
      </c>
      <c r="F145" s="8">
        <v>3</v>
      </c>
      <c r="G145" s="8">
        <v>9</v>
      </c>
      <c r="H145" s="9">
        <v>18</v>
      </c>
      <c r="I145" s="10" t="s">
        <v>25</v>
      </c>
      <c r="J145" s="8" t="s">
        <v>26</v>
      </c>
      <c r="K145" s="8" t="s">
        <v>19</v>
      </c>
      <c r="L145" s="8" t="s">
        <v>20</v>
      </c>
    </row>
    <row r="146" spans="1:12" x14ac:dyDescent="0.25">
      <c r="A146" s="5" t="s">
        <v>12</v>
      </c>
      <c r="B146" s="6">
        <v>44109</v>
      </c>
      <c r="C146" s="7" t="e">
        <f>MONTH([1]!Table1[[#This Row],[Date]])</f>
        <v>#REF!</v>
      </c>
      <c r="D146" s="8">
        <v>3</v>
      </c>
      <c r="E146" s="8">
        <v>5</v>
      </c>
      <c r="F146" s="8">
        <v>3</v>
      </c>
      <c r="G146" s="8">
        <v>9</v>
      </c>
      <c r="H146" s="9">
        <v>15</v>
      </c>
      <c r="I146" s="10" t="s">
        <v>13</v>
      </c>
      <c r="J146" s="8" t="s">
        <v>14</v>
      </c>
      <c r="K146" s="8" t="s">
        <v>15</v>
      </c>
      <c r="L146" s="8" t="s">
        <v>16</v>
      </c>
    </row>
    <row r="147" spans="1:12" x14ac:dyDescent="0.25">
      <c r="A147" s="5" t="s">
        <v>17</v>
      </c>
      <c r="B147" s="6">
        <v>44116</v>
      </c>
      <c r="C147" s="7" t="e">
        <f>MONTH([1]!Table1[[#This Row],[Date]])</f>
        <v>#REF!</v>
      </c>
      <c r="D147" s="8">
        <v>3</v>
      </c>
      <c r="E147" s="8">
        <v>4</v>
      </c>
      <c r="F147" s="8">
        <v>3</v>
      </c>
      <c r="G147" s="8">
        <v>9</v>
      </c>
      <c r="H147" s="9">
        <v>12</v>
      </c>
      <c r="I147" s="10" t="s">
        <v>18</v>
      </c>
      <c r="J147" s="8" t="s">
        <v>14</v>
      </c>
      <c r="K147" s="8" t="s">
        <v>19</v>
      </c>
      <c r="L147" s="8" t="s">
        <v>20</v>
      </c>
    </row>
    <row r="148" spans="1:12" x14ac:dyDescent="0.25">
      <c r="A148" s="5" t="s">
        <v>31</v>
      </c>
      <c r="B148" s="6">
        <v>44123</v>
      </c>
      <c r="C148" s="7" t="e">
        <f>MONTH([1]!Table1[[#This Row],[Date]])</f>
        <v>#REF!</v>
      </c>
      <c r="D148" s="8">
        <v>3</v>
      </c>
      <c r="E148" s="8">
        <v>7</v>
      </c>
      <c r="F148" s="8">
        <v>4</v>
      </c>
      <c r="G148" s="8">
        <v>12</v>
      </c>
      <c r="H148" s="9">
        <v>21</v>
      </c>
      <c r="I148" s="10" t="s">
        <v>32</v>
      </c>
      <c r="J148" s="8" t="s">
        <v>14</v>
      </c>
      <c r="K148" s="8" t="s">
        <v>33</v>
      </c>
      <c r="L148" s="8" t="s">
        <v>34</v>
      </c>
    </row>
    <row r="149" spans="1:12" x14ac:dyDescent="0.25">
      <c r="A149" s="5" t="s">
        <v>24</v>
      </c>
      <c r="B149" s="6">
        <v>44130</v>
      </c>
      <c r="C149" s="7" t="e">
        <f>MONTH([1]!Table1[[#This Row],[Date]])</f>
        <v>#REF!</v>
      </c>
      <c r="D149" s="8">
        <v>5</v>
      </c>
      <c r="E149" s="8">
        <v>6</v>
      </c>
      <c r="F149" s="8">
        <v>3</v>
      </c>
      <c r="G149" s="8">
        <v>15</v>
      </c>
      <c r="H149" s="9">
        <v>30</v>
      </c>
      <c r="I149" s="10" t="s">
        <v>25</v>
      </c>
      <c r="J149" s="8" t="s">
        <v>26</v>
      </c>
      <c r="K149" s="8" t="s">
        <v>19</v>
      </c>
      <c r="L149" s="8" t="s">
        <v>20</v>
      </c>
    </row>
    <row r="150" spans="1:12" x14ac:dyDescent="0.25">
      <c r="A150" s="5" t="s">
        <v>12</v>
      </c>
      <c r="B150" s="6">
        <v>44137</v>
      </c>
      <c r="C150" s="7" t="e">
        <f>MONTH([1]!Table1[[#This Row],[Date]])</f>
        <v>#REF!</v>
      </c>
      <c r="D150" s="8">
        <v>7</v>
      </c>
      <c r="E150" s="8">
        <v>5</v>
      </c>
      <c r="F150" s="8">
        <v>3</v>
      </c>
      <c r="G150" s="8">
        <v>21</v>
      </c>
      <c r="H150" s="9">
        <v>35</v>
      </c>
      <c r="I150" s="10" t="s">
        <v>13</v>
      </c>
      <c r="J150" s="8" t="s">
        <v>14</v>
      </c>
      <c r="K150" s="8" t="s">
        <v>15</v>
      </c>
      <c r="L150" s="8" t="s">
        <v>16</v>
      </c>
    </row>
    <row r="151" spans="1:12" x14ac:dyDescent="0.25">
      <c r="A151" s="5" t="s">
        <v>37</v>
      </c>
      <c r="B151" s="6">
        <v>44144</v>
      </c>
      <c r="C151" s="7" t="e">
        <f>MONTH([1]!Table1[[#This Row],[Date]])</f>
        <v>#REF!</v>
      </c>
      <c r="D151" s="8">
        <v>9</v>
      </c>
      <c r="E151" s="8">
        <v>5</v>
      </c>
      <c r="F151" s="8">
        <v>4</v>
      </c>
      <c r="G151" s="8">
        <v>36</v>
      </c>
      <c r="H151" s="9">
        <v>45</v>
      </c>
      <c r="I151" s="10" t="s">
        <v>38</v>
      </c>
      <c r="J151" s="8" t="s">
        <v>39</v>
      </c>
      <c r="K151" s="8" t="s">
        <v>29</v>
      </c>
      <c r="L151" s="8" t="s">
        <v>30</v>
      </c>
    </row>
    <row r="152" spans="1:12" x14ac:dyDescent="0.25">
      <c r="A152" s="5" t="s">
        <v>27</v>
      </c>
      <c r="B152" s="6">
        <v>44151</v>
      </c>
      <c r="C152" s="7" t="e">
        <f>MONTH([1]!Table1[[#This Row],[Date]])</f>
        <v>#REF!</v>
      </c>
      <c r="D152" s="8">
        <v>11</v>
      </c>
      <c r="E152" s="8">
        <v>5</v>
      </c>
      <c r="F152" s="8">
        <v>2</v>
      </c>
      <c r="G152" s="8">
        <v>22</v>
      </c>
      <c r="H152" s="9">
        <v>55</v>
      </c>
      <c r="I152" s="10" t="s">
        <v>28</v>
      </c>
      <c r="J152" s="8" t="s">
        <v>26</v>
      </c>
      <c r="K152" s="8" t="s">
        <v>29</v>
      </c>
      <c r="L152" s="8" t="s">
        <v>30</v>
      </c>
    </row>
    <row r="153" spans="1:12" x14ac:dyDescent="0.25">
      <c r="A153" s="5" t="s">
        <v>21</v>
      </c>
      <c r="B153" s="6">
        <v>44158</v>
      </c>
      <c r="C153" s="7" t="e">
        <f>MONTH([1]!Table1[[#This Row],[Date]])</f>
        <v>#REF!</v>
      </c>
      <c r="D153" s="8">
        <v>13</v>
      </c>
      <c r="E153" s="8">
        <v>9</v>
      </c>
      <c r="F153" s="8">
        <v>6</v>
      </c>
      <c r="G153" s="8">
        <v>78</v>
      </c>
      <c r="H153" s="9">
        <v>117</v>
      </c>
      <c r="I153" s="10" t="s">
        <v>22</v>
      </c>
      <c r="J153" s="8" t="s">
        <v>23</v>
      </c>
      <c r="K153" s="8" t="s">
        <v>15</v>
      </c>
      <c r="L153" s="8" t="s">
        <v>16</v>
      </c>
    </row>
    <row r="154" spans="1:12" x14ac:dyDescent="0.25">
      <c r="A154" s="5" t="s">
        <v>12</v>
      </c>
      <c r="B154" s="6">
        <v>44165</v>
      </c>
      <c r="C154" s="7" t="e">
        <f>MONTH([1]!Table1[[#This Row],[Date]])</f>
        <v>#REF!</v>
      </c>
      <c r="D154" s="8">
        <v>15</v>
      </c>
      <c r="E154" s="8">
        <v>5</v>
      </c>
      <c r="F154" s="8">
        <v>3</v>
      </c>
      <c r="G154" s="8">
        <v>45</v>
      </c>
      <c r="H154" s="9">
        <v>75</v>
      </c>
      <c r="I154" s="10" t="s">
        <v>13</v>
      </c>
      <c r="J154" s="8" t="s">
        <v>14</v>
      </c>
      <c r="K154" s="8" t="s">
        <v>15</v>
      </c>
      <c r="L154" s="8" t="s">
        <v>16</v>
      </c>
    </row>
    <row r="155" spans="1:12" x14ac:dyDescent="0.25">
      <c r="A155" s="5" t="s">
        <v>17</v>
      </c>
      <c r="B155" s="6">
        <v>44172</v>
      </c>
      <c r="C155" s="7" t="e">
        <f>MONTH([1]!Table1[[#This Row],[Date]])</f>
        <v>#REF!</v>
      </c>
      <c r="D155" s="8">
        <v>17</v>
      </c>
      <c r="E155" s="8">
        <v>4</v>
      </c>
      <c r="F155" s="8">
        <v>3</v>
      </c>
      <c r="G155" s="8">
        <v>51</v>
      </c>
      <c r="H155" s="9">
        <v>68</v>
      </c>
      <c r="I155" s="10" t="s">
        <v>18</v>
      </c>
      <c r="J155" s="8" t="s">
        <v>14</v>
      </c>
      <c r="K155" s="8" t="s">
        <v>19</v>
      </c>
      <c r="L155" s="8" t="s">
        <v>20</v>
      </c>
    </row>
    <row r="156" spans="1:12" x14ac:dyDescent="0.25">
      <c r="A156" s="5" t="s">
        <v>17</v>
      </c>
      <c r="B156" s="6">
        <v>44179</v>
      </c>
      <c r="C156" s="7" t="e">
        <f>MONTH([1]!Table1[[#This Row],[Date]])</f>
        <v>#REF!</v>
      </c>
      <c r="D156" s="8">
        <v>19</v>
      </c>
      <c r="E156" s="8">
        <v>4</v>
      </c>
      <c r="F156" s="8">
        <v>3</v>
      </c>
      <c r="G156" s="8">
        <v>57</v>
      </c>
      <c r="H156" s="9">
        <v>76</v>
      </c>
      <c r="I156" s="10" t="s">
        <v>18</v>
      </c>
      <c r="J156" s="8" t="s">
        <v>14</v>
      </c>
      <c r="K156" s="8" t="s">
        <v>19</v>
      </c>
      <c r="L156" s="8" t="s">
        <v>20</v>
      </c>
    </row>
    <row r="157" spans="1:12" x14ac:dyDescent="0.25">
      <c r="A157" s="5" t="s">
        <v>24</v>
      </c>
      <c r="B157" s="6">
        <v>44186</v>
      </c>
      <c r="C157" s="7" t="e">
        <f>MONTH([1]!Table1[[#This Row],[Date]])</f>
        <v>#REF!</v>
      </c>
      <c r="D157" s="8">
        <v>21</v>
      </c>
      <c r="E157" s="8">
        <v>6</v>
      </c>
      <c r="F157" s="8">
        <v>3</v>
      </c>
      <c r="G157" s="8">
        <v>63</v>
      </c>
      <c r="H157" s="9">
        <v>126</v>
      </c>
      <c r="I157" s="10" t="s">
        <v>25</v>
      </c>
      <c r="J157" s="8" t="s">
        <v>26</v>
      </c>
      <c r="K157" s="8" t="s">
        <v>19</v>
      </c>
      <c r="L157" s="8" t="s">
        <v>20</v>
      </c>
    </row>
    <row r="158" spans="1:12" x14ac:dyDescent="0.25">
      <c r="A158" s="11" t="s">
        <v>35</v>
      </c>
      <c r="B158" s="12">
        <v>44193</v>
      </c>
      <c r="C158" s="13" t="e">
        <f>MONTH([1]!Table1[[#This Row],[Date]])</f>
        <v>#REF!</v>
      </c>
      <c r="D158" s="14">
        <v>23</v>
      </c>
      <c r="E158" s="14">
        <v>7</v>
      </c>
      <c r="F158" s="14">
        <v>6</v>
      </c>
      <c r="G158" s="14">
        <v>138</v>
      </c>
      <c r="H158" s="15">
        <v>161</v>
      </c>
      <c r="I158" s="10" t="s">
        <v>36</v>
      </c>
      <c r="J158" s="14" t="s">
        <v>23</v>
      </c>
      <c r="K158" s="14" t="s">
        <v>33</v>
      </c>
      <c r="L158" s="14"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9CBA-8223-465E-AA6C-BEB5FFB51B3E}">
  <dimension ref="A1"/>
  <sheetViews>
    <sheetView topLeftCell="A3" zoomScale="98" zoomScaleNormal="98" workbookViewId="0">
      <selection activeCell="R24" sqref="R2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Viji Boin</dc:creator>
  <cp:lastModifiedBy>Viji Boin</cp:lastModifiedBy>
  <dcterms:created xsi:type="dcterms:W3CDTF">2024-11-27T09:09:07Z</dcterms:created>
  <dcterms:modified xsi:type="dcterms:W3CDTF">2025-03-24T01:57:36Z</dcterms:modified>
</cp:coreProperties>
</file>